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ست کور" sheetId="1" state="visible" r:id="rId1"/>
    <sheet name="کلید پاسخ کامل" sheetId="2" state="visible" r:id="rId2"/>
    <sheet name="امتیاز" sheetId="3" state="visible" r:id="rId3"/>
    <sheet name="راهنمای آزمو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2706A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C9D4D8"/>
      </left>
      <right style="thin">
        <color rgb="00C9D4D8"/>
      </right>
      <top style="thin">
        <color rgb="00C9D4D8"/>
      </top>
      <bottom style="thin">
        <color rgb="00C9D4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 readingOrder="2"/>
    </xf>
    <xf numFmtId="0" fontId="2" fillId="0" borderId="1" applyAlignment="1" pivotButton="0" quotePrefix="0" xfId="0">
      <alignment horizontal="center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3" fontId="2" fillId="0" borderId="1" applyAlignment="1" pivotButton="0" quotePrefix="0" xfId="0">
      <alignment horizontal="right" vertical="top" wrapText="1" readingOrder="2"/>
    </xf>
    <xf numFmtId="0" fontId="3" fillId="0" borderId="1" applyAlignment="1" pivotButton="0" quotePrefix="0" xfId="0">
      <alignment horizontal="right" vertical="top" wrapText="1" readingOrder="2"/>
    </xf>
    <xf numFmtId="164" fontId="2" fillId="0" borderId="1" applyAlignment="1" pivotButton="0" quotePrefix="0" xfId="0">
      <alignment horizontal="center" vertical="top" wrapText="1" readingOrder="2"/>
    </xf>
    <xf numFmtId="0" fontId="1" fillId="2" borderId="0" applyAlignment="1" pivotButton="0" quotePrefix="0" xfId="0">
      <alignment horizontal="right" vertical="top" wrapText="1" readingOrder="2"/>
    </xf>
    <xf numFmtId="0" fontId="3" fillId="0" borderId="0" applyAlignment="1" pivotButton="0" quotePrefix="0" xfId="0">
      <alignment horizontal="right" vertical="top" wrapText="1" readingOrder="2"/>
    </xf>
    <xf numFmtId="0" fontId="2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60" customWidth="1" min="4" max="4"/>
    <col width="10" customWidth="1" min="5" max="5"/>
    <col width="26" customWidth="1" min="6" max="6"/>
    <col width="40" customWidth="1" min="7" max="7"/>
    <col width="22" customWidth="1" min="8" max="8"/>
    <col width="18" customWidth="1" min="9" max="9"/>
    <col width="30" customWidth="1" min="10" max="10"/>
  </cols>
  <sheetData>
    <row r="1" ht="34" customHeight="1">
      <c r="A1" s="1" t="inlineStr">
        <is>
          <t>کد</t>
        </is>
      </c>
      <c r="B1" s="1" t="inlineStr">
        <is>
          <t>گروه</t>
        </is>
      </c>
      <c r="C1" s="1" t="inlineStr">
        <is>
          <t>دشواری</t>
        </is>
      </c>
      <c r="D1" s="1" t="inlineStr">
        <is>
          <t>متن تراکنش (برای گفتن یا تایپ)</t>
        </is>
      </c>
      <c r="E1" s="1" t="inlineStr">
        <is>
          <t>وابسته به</t>
        </is>
      </c>
      <c r="F1" s="1" t="inlineStr">
        <is>
          <t>مسیر مورد انتظار</t>
        </is>
      </c>
      <c r="G1" s="1" t="inlineStr">
        <is>
          <t>خروجی حساب‌یار (پرکردنی)</t>
        </is>
      </c>
      <c r="H1" s="1" t="inlineStr">
        <is>
          <t>نتیجه (پرکردنی)</t>
        </is>
      </c>
      <c r="I1" s="1" t="inlineStr">
        <is>
          <t>ثبت اشتباه با اطمینان؟ (پرکردنی)</t>
        </is>
      </c>
      <c r="J1" s="1" t="inlineStr">
        <is>
          <t>یادداشت تستر (پرکردنی)</t>
        </is>
      </c>
    </row>
    <row r="2">
      <c r="A2" s="2" t="inlineStr">
        <is>
          <t>R001</t>
        </is>
      </c>
      <c r="B2" s="3" t="inlineStr">
        <is>
          <t>روزانه</t>
        </is>
      </c>
      <c r="C2" s="2" t="inlineStr">
        <is>
          <t>آسان</t>
        </is>
      </c>
      <c r="D2" s="3" t="inlineStr">
        <is>
          <t>امروز هشت میلیون و پانصد هزار تومان فروش نقدی داشتیم، پولش تو صندوقه.</t>
        </is>
      </c>
      <c r="E2" s="2" t="inlineStr"/>
      <c r="F2" s="3" t="inlineStr">
        <is>
          <t>ثبت خودکار یا تأیید ساده</t>
        </is>
      </c>
      <c r="G2" s="4" t="n"/>
      <c r="H2" s="4" t="n"/>
      <c r="I2" s="4" t="n"/>
      <c r="J2" s="4" t="n"/>
    </row>
    <row r="3">
      <c r="A3" s="2" t="inlineStr">
        <is>
          <t>R002</t>
        </is>
      </c>
      <c r="B3" s="3" t="inlineStr">
        <is>
          <t>روزانه</t>
        </is>
      </c>
      <c r="C3" s="2" t="inlineStr">
        <is>
          <t>آسان</t>
        </is>
      </c>
      <c r="D3" s="3" t="inlineStr">
        <is>
          <t>بابت نصب و راه‌اندازی دستگاه برای شرکت آریا تجارت دو میلیون و ششصد هزار تومان به حساب ملت واریز شد.</t>
        </is>
      </c>
      <c r="E3" s="2" t="inlineStr"/>
      <c r="F3" s="3" t="inlineStr">
        <is>
          <t>ثبت خودکار یا تأیید ساده</t>
        </is>
      </c>
      <c r="G3" s="4" t="n"/>
      <c r="H3" s="4" t="n"/>
      <c r="I3" s="4" t="n"/>
      <c r="J3" s="4" t="n"/>
    </row>
    <row r="4">
      <c r="A4" s="2" t="inlineStr">
        <is>
          <t>R003</t>
        </is>
      </c>
      <c r="B4" s="3" t="inlineStr">
        <is>
          <t>روزانه</t>
        </is>
      </c>
      <c r="C4" s="2" t="inlineStr">
        <is>
          <t>آسان</t>
        </is>
      </c>
      <c r="D4" s="3" t="inlineStr">
        <is>
          <t>قبض برق مغازه یک میلیون و دویست هزار تومن از ملت پرداخت شد.</t>
        </is>
      </c>
      <c r="E4" s="2" t="inlineStr"/>
      <c r="F4" s="3" t="inlineStr">
        <is>
          <t>ثبت خودکار یا تأیید ساده</t>
        </is>
      </c>
      <c r="G4" s="4" t="n"/>
      <c r="H4" s="4" t="n"/>
      <c r="I4" s="4" t="n"/>
      <c r="J4" s="4" t="n"/>
    </row>
    <row r="5">
      <c r="A5" s="2" t="inlineStr">
        <is>
          <t>R004</t>
        </is>
      </c>
      <c r="B5" s="3" t="inlineStr">
        <is>
          <t>روزانه</t>
        </is>
      </c>
      <c r="C5" s="2" t="inlineStr">
        <is>
          <t>آسان</t>
        </is>
      </c>
      <c r="D5" s="3" t="inlineStr">
        <is>
          <t>برای تبلیغات اینستاگرام چهار میلیون از ملت دادیم.</t>
        </is>
      </c>
      <c r="E5" s="2" t="inlineStr"/>
      <c r="F5" s="3" t="inlineStr">
        <is>
          <t>ثبت خودکار یا تأیید ساده</t>
        </is>
      </c>
      <c r="G5" s="4" t="n"/>
      <c r="H5" s="4" t="n"/>
      <c r="I5" s="4" t="n"/>
      <c r="J5" s="4" t="n"/>
    </row>
    <row r="6">
      <c r="A6" s="2" t="inlineStr">
        <is>
          <t>R005</t>
        </is>
      </c>
      <c r="B6" s="3" t="inlineStr">
        <is>
          <t>روزانه</t>
        </is>
      </c>
      <c r="C6" s="2" t="inlineStr">
        <is>
          <t>آسان</t>
        </is>
      </c>
      <c r="D6" s="3" t="inlineStr">
        <is>
          <t>۳۵۰ هزار تومن ناهار بچه‌ها رو از صندوق دادیم.</t>
        </is>
      </c>
      <c r="E6" s="2" t="inlineStr"/>
      <c r="F6" s="3" t="inlineStr">
        <is>
          <t>ثبت خودکار یا تأیید ساده</t>
        </is>
      </c>
      <c r="G6" s="4" t="n"/>
      <c r="H6" s="4" t="n"/>
      <c r="I6" s="4" t="n"/>
      <c r="J6" s="4" t="n"/>
    </row>
    <row r="7">
      <c r="A7" s="2" t="inlineStr">
        <is>
          <t>R006</t>
        </is>
      </c>
      <c r="B7" s="3" t="inlineStr">
        <is>
          <t>روزانه</t>
        </is>
      </c>
      <c r="C7" s="2" t="inlineStr">
        <is>
          <t>آسان</t>
        </is>
      </c>
      <c r="D7" s="3" t="inlineStr">
        <is>
          <t>کرایهٔ باربری ارسال سفارش به کرج ۸۰۰ هزار تومن نقد دادیم.</t>
        </is>
      </c>
      <c r="E7" s="2" t="inlineStr"/>
      <c r="F7" s="3" t="inlineStr">
        <is>
          <t>ثبت خودکار یا تأیید ساده</t>
        </is>
      </c>
      <c r="G7" s="4" t="n"/>
      <c r="H7" s="4" t="n"/>
      <c r="I7" s="4" t="n"/>
      <c r="J7" s="4" t="n"/>
    </row>
    <row r="8">
      <c r="A8" s="2" t="inlineStr">
        <is>
          <t>R007</t>
        </is>
      </c>
      <c r="B8" s="3" t="inlineStr">
        <is>
          <t>روزانه</t>
        </is>
      </c>
      <c r="C8" s="2" t="inlineStr">
        <is>
          <t>آسان</t>
        </is>
      </c>
      <c r="D8" s="3" t="inlineStr">
        <is>
          <t>بنزین ماشین شرکت ۶۰۰ هزار تومن، کارت به کارت از تجارت.</t>
        </is>
      </c>
      <c r="E8" s="2" t="inlineStr"/>
      <c r="F8" s="3" t="inlineStr">
        <is>
          <t>ثبت خودکار یا تأیید ساده</t>
        </is>
      </c>
      <c r="G8" s="4" t="n"/>
      <c r="H8" s="4" t="n"/>
      <c r="I8" s="4" t="n"/>
      <c r="J8" s="4" t="n"/>
    </row>
    <row r="9">
      <c r="A9" s="2" t="inlineStr">
        <is>
          <t>R008</t>
        </is>
      </c>
      <c r="B9" s="3" t="inlineStr">
        <is>
          <t>روزانه</t>
        </is>
      </c>
      <c r="C9" s="2" t="inlineStr">
        <is>
          <t>متوسط</t>
        </is>
      </c>
      <c r="D9" s="3" t="inlineStr">
        <is>
          <t>اشتراک ماهانهٔ نرم‌افزار CRM یک میلیون و دویست از ملت کم شد.</t>
        </is>
      </c>
      <c r="E9" s="2" t="inlineStr"/>
      <c r="F9" s="3" t="inlineStr">
        <is>
          <t>ثبت خودکار یا تأیید ساده</t>
        </is>
      </c>
      <c r="G9" s="4" t="n"/>
      <c r="H9" s="4" t="n"/>
      <c r="I9" s="4" t="n"/>
      <c r="J9" s="4" t="n"/>
    </row>
    <row r="10">
      <c r="A10" s="2" t="inlineStr">
        <is>
          <t>R009</t>
        </is>
      </c>
      <c r="B10" s="3" t="inlineStr">
        <is>
          <t>روزانه</t>
        </is>
      </c>
      <c r="C10" s="2" t="inlineStr">
        <is>
          <t>آسان</t>
        </is>
      </c>
      <c r="D10" s="3" t="inlineStr">
        <is>
          <t>کارمزد انتقال پایا ۱۲ هزار تومن از حساب ملت کسر شد.</t>
        </is>
      </c>
      <c r="E10" s="2" t="inlineStr"/>
      <c r="F10" s="3" t="inlineStr">
        <is>
          <t>ثبت خودکار یا تأیید ساده</t>
        </is>
      </c>
      <c r="G10" s="4" t="n"/>
      <c r="H10" s="4" t="n"/>
      <c r="I10" s="4" t="n"/>
      <c r="J10" s="4" t="n"/>
    </row>
    <row r="11">
      <c r="A11" s="2" t="inlineStr">
        <is>
          <t>R010</t>
        </is>
      </c>
      <c r="B11" s="3" t="inlineStr">
        <is>
          <t>روزانه</t>
        </is>
      </c>
      <c r="C11" s="2" t="inlineStr">
        <is>
          <t>آسان</t>
        </is>
      </c>
      <c r="D11" s="3" t="inlineStr">
        <is>
          <t>بانک ملت یک میلیون و چهارصد سود سپردهٔ این ماه رو واریز کرد.</t>
        </is>
      </c>
      <c r="E11" s="2" t="inlineStr"/>
      <c r="F11" s="3" t="inlineStr">
        <is>
          <t>ثبت خودکار یا تأیید ساده</t>
        </is>
      </c>
      <c r="G11" s="4" t="n"/>
      <c r="H11" s="4" t="n"/>
      <c r="I11" s="4" t="n"/>
      <c r="J11" s="4" t="n"/>
    </row>
    <row r="12">
      <c r="A12" s="2" t="inlineStr">
        <is>
          <t>R011</t>
        </is>
      </c>
      <c r="B12" s="3" t="inlineStr">
        <is>
          <t>روزانه</t>
        </is>
      </c>
      <c r="C12" s="2" t="inlineStr">
        <is>
          <t>آسان</t>
        </is>
      </c>
      <c r="D12" s="3" t="inlineStr">
        <is>
          <t>کاغذ A4 و تونر پرینتر ۹۵۰ هزار تومن خریدیم، نقدی.</t>
        </is>
      </c>
      <c r="E12" s="2" t="inlineStr"/>
      <c r="F12" s="3" t="inlineStr">
        <is>
          <t>ثبت خودکار یا تأیید ساده</t>
        </is>
      </c>
      <c r="G12" s="4" t="n"/>
      <c r="H12" s="4" t="n"/>
      <c r="I12" s="4" t="n"/>
      <c r="J12" s="4" t="n"/>
    </row>
    <row r="13">
      <c r="A13" s="2" t="inlineStr">
        <is>
          <t>R012</t>
        </is>
      </c>
      <c r="B13" s="3" t="inlineStr">
        <is>
          <t>روزانه</t>
        </is>
      </c>
      <c r="C13" s="2" t="inlineStr">
        <is>
          <t>آسان</t>
        </is>
      </c>
      <c r="D13" s="3" t="inlineStr">
        <is>
          <t>حق‌الزحمهٔ طراح لوگو پنج میلیون از تجارت پرداخت شد.</t>
        </is>
      </c>
      <c r="E13" s="2" t="inlineStr"/>
      <c r="F13" s="3" t="inlineStr">
        <is>
          <t>ثبت خودکار یا تأیید ساده</t>
        </is>
      </c>
      <c r="G13" s="4" t="n"/>
      <c r="H13" s="4" t="n"/>
      <c r="I13" s="4" t="n"/>
      <c r="J13" s="4" t="n"/>
    </row>
    <row r="14">
      <c r="A14" s="2" t="inlineStr">
        <is>
          <t>R013</t>
        </is>
      </c>
      <c r="B14" s="3" t="inlineStr">
        <is>
          <t>روزانه</t>
        </is>
      </c>
      <c r="C14" s="2" t="inlineStr">
        <is>
          <t>آسان</t>
        </is>
      </c>
      <c r="D14" s="3" t="inlineStr">
        <is>
          <t>هزینهٔ دورهٔ آموزش اکسل برای دو نفر از کارمندا ۳ میلیون از ملت.</t>
        </is>
      </c>
      <c r="E14" s="2" t="inlineStr"/>
      <c r="F14" s="3" t="inlineStr">
        <is>
          <t>ثبت خودکار یا تأیید ساده</t>
        </is>
      </c>
      <c r="G14" s="4" t="n"/>
      <c r="H14" s="4" t="n"/>
      <c r="I14" s="4" t="n"/>
      <c r="J14" s="4" t="n"/>
    </row>
    <row r="15">
      <c r="A15" s="2" t="inlineStr">
        <is>
          <t>R014</t>
        </is>
      </c>
      <c r="B15" s="3" t="inlineStr">
        <is>
          <t>روزانه</t>
        </is>
      </c>
      <c r="C15" s="2" t="inlineStr">
        <is>
          <t>آسان</t>
        </is>
      </c>
      <c r="D15" s="3" t="inlineStr">
        <is>
          <t>اجارهٔ همین ماه دفتر ۱۵ میلیون به آقای اسدی از ملت واریز شد.</t>
        </is>
      </c>
      <c r="E15" s="2" t="inlineStr"/>
      <c r="F15" s="3" t="inlineStr">
        <is>
          <t>ثبت خودکار یا تأیید ساده</t>
        </is>
      </c>
      <c r="G15" s="4" t="n"/>
      <c r="H15" s="4" t="n"/>
      <c r="I15" s="4" t="n"/>
      <c r="J15" s="4" t="n"/>
    </row>
    <row r="16">
      <c r="A16" s="2" t="inlineStr">
        <is>
          <t>R015</t>
        </is>
      </c>
      <c r="B16" s="3" t="inlineStr">
        <is>
          <t>روزانه</t>
        </is>
      </c>
      <c r="C16" s="2" t="inlineStr">
        <is>
          <t>آسان</t>
        </is>
      </c>
      <c r="D16" s="3" t="inlineStr">
        <is>
          <t>دو میلیون و هفتصد پول پروژهٔ طراحی سایت رو از مشتری نقد گرفتیم.</t>
        </is>
      </c>
      <c r="E16" s="2" t="inlineStr"/>
      <c r="F16" s="3" t="inlineStr">
        <is>
          <t>ثبت خودکار یا تأیید ساده</t>
        </is>
      </c>
      <c r="G16" s="4" t="n"/>
      <c r="H16" s="4" t="n"/>
      <c r="I16" s="4" t="n"/>
      <c r="J16" s="4" t="n"/>
    </row>
    <row r="17">
      <c r="A17" s="2" t="inlineStr">
        <is>
          <t>R016</t>
        </is>
      </c>
      <c r="B17" s="3" t="inlineStr">
        <is>
          <t>گفتار و تایپ</t>
        </is>
      </c>
      <c r="C17" s="2" t="inlineStr">
        <is>
          <t>متوسط</t>
        </is>
      </c>
      <c r="D17" s="3" t="inlineStr">
        <is>
          <t>امروز 12 میلیون تومن جنس فروختیم ریختن به حساب ملت</t>
        </is>
      </c>
      <c r="E17" s="2" t="inlineStr"/>
      <c r="F17" s="3" t="inlineStr">
        <is>
          <t>ثبت خودکار یا تأیید ساده</t>
        </is>
      </c>
      <c r="G17" s="4" t="n"/>
      <c r="H17" s="4" t="n"/>
      <c r="I17" s="4" t="n"/>
      <c r="J17" s="4" t="n"/>
    </row>
    <row r="18">
      <c r="A18" s="2" t="inlineStr">
        <is>
          <t>R017</t>
        </is>
      </c>
      <c r="B18" s="3" t="inlineStr">
        <is>
          <t>گفتار و تایپ</t>
        </is>
      </c>
      <c r="C18" s="2" t="inlineStr">
        <is>
          <t>سخت</t>
        </is>
      </c>
      <c r="D18" s="3" t="inlineStr">
        <is>
          <t>یه تومن و نیم پول آب دادیم</t>
        </is>
      </c>
      <c r="E18" s="2" t="inlineStr"/>
      <c r="F18" s="3" t="inlineStr">
        <is>
          <t>کارت سؤال، بعد ثبت</t>
        </is>
      </c>
      <c r="G18" s="4" t="n"/>
      <c r="H18" s="4" t="n"/>
      <c r="I18" s="4" t="n"/>
      <c r="J18" s="4" t="n"/>
    </row>
    <row r="19">
      <c r="A19" s="2" t="inlineStr">
        <is>
          <t>R018</t>
        </is>
      </c>
      <c r="B19" s="3" t="inlineStr">
        <is>
          <t>گفتار و تایپ</t>
        </is>
      </c>
      <c r="C19" s="2" t="inlineStr">
        <is>
          <t>سخت</t>
        </is>
      </c>
      <c r="D19" s="3" t="inlineStr">
        <is>
          <t>اقای رضایی ۲ میلیون حق زحمه تعمیر کولر رو گرفت، از صندوق دادیم</t>
        </is>
      </c>
      <c r="E19" s="2" t="inlineStr"/>
      <c r="F19" s="3" t="inlineStr">
        <is>
          <t>ثبت خودکار یا تأیید ساده</t>
        </is>
      </c>
      <c r="G19" s="4" t="n"/>
      <c r="H19" s="4" t="n"/>
      <c r="I19" s="4" t="n"/>
      <c r="J19" s="4" t="n"/>
    </row>
    <row r="20">
      <c r="A20" s="2" t="inlineStr">
        <is>
          <t>R019</t>
        </is>
      </c>
      <c r="B20" s="3" t="inlineStr">
        <is>
          <t>گفتار و تایپ</t>
        </is>
      </c>
      <c r="C20" s="2" t="inlineStr">
        <is>
          <t>آسان</t>
        </is>
      </c>
      <c r="D20" s="3" t="inlineStr">
        <is>
          <t>۲۵۰ هزار تومن واسه پیک کارت به کارت کردیم از تجارت</t>
        </is>
      </c>
      <c r="E20" s="2" t="inlineStr"/>
      <c r="F20" s="3" t="inlineStr">
        <is>
          <t>ثبت خودکار یا تأیید ساده</t>
        </is>
      </c>
      <c r="G20" s="4" t="n"/>
      <c r="H20" s="4" t="n"/>
      <c r="I20" s="4" t="n"/>
      <c r="J20" s="4" t="n"/>
    </row>
    <row r="21">
      <c r="A21" s="2" t="inlineStr">
        <is>
          <t>R020</t>
        </is>
      </c>
      <c r="B21" s="3" t="inlineStr">
        <is>
          <t>گفتار و تایپ</t>
        </is>
      </c>
      <c r="C21" s="2" t="inlineStr">
        <is>
          <t>سخت</t>
        </is>
      </c>
      <c r="D21" s="3" t="inlineStr">
        <is>
          <t>فروختیم ۷ میلیون، نصفش نقد نصفش کارت به ملت</t>
        </is>
      </c>
      <c r="E21" s="2" t="inlineStr"/>
      <c r="F21" s="3" t="inlineStr">
        <is>
          <t>صف حسابدار ← «تحلیل کن»</t>
        </is>
      </c>
      <c r="G21" s="4" t="n"/>
      <c r="H21" s="4" t="n"/>
      <c r="I21" s="4" t="n"/>
      <c r="J21" s="4" t="n"/>
    </row>
    <row r="22">
      <c r="A22" s="2" t="inlineStr">
        <is>
          <t>R021</t>
        </is>
      </c>
      <c r="B22" s="3" t="inlineStr">
        <is>
          <t>گفتار و تایپ</t>
        </is>
      </c>
      <c r="C22" s="2" t="inlineStr">
        <is>
          <t>سخت</t>
        </is>
      </c>
      <c r="D22" s="3" t="inlineStr">
        <is>
          <t>خانم شاملو ۲ میلیون بابت کاغذ و تونر از صندوق گرفت</t>
        </is>
      </c>
      <c r="E22" s="2" t="inlineStr"/>
      <c r="F22" s="3" t="inlineStr">
        <is>
          <t>ثبت خودکار یا تأیید ساده</t>
        </is>
      </c>
      <c r="G22" s="4" t="n"/>
      <c r="H22" s="4" t="n"/>
      <c r="I22" s="4" t="n"/>
      <c r="J22" s="4" t="n"/>
    </row>
    <row r="23">
      <c r="A23" s="2" t="inlineStr">
        <is>
          <t>R022</t>
        </is>
      </c>
      <c r="B23" s="3" t="inlineStr">
        <is>
          <t>گفتار و تایپ</t>
        </is>
      </c>
      <c r="C23" s="2" t="inlineStr">
        <is>
          <t>سخت</t>
        </is>
      </c>
      <c r="D23" s="3" t="inlineStr">
        <is>
          <t>آقای وکیلی ۳ میلیون بابت میز برامون خرید، از ملت بهش دادیم</t>
        </is>
      </c>
      <c r="E23" s="2" t="inlineStr"/>
      <c r="F23" s="3" t="inlineStr">
        <is>
          <t>کارت سؤال، بعد ثبت</t>
        </is>
      </c>
      <c r="G23" s="4" t="n"/>
      <c r="H23" s="4" t="n"/>
      <c r="I23" s="4" t="n"/>
      <c r="J23" s="4" t="n"/>
    </row>
    <row r="24">
      <c r="A24" s="2" t="inlineStr">
        <is>
          <t>R023</t>
        </is>
      </c>
      <c r="B24" s="3" t="inlineStr">
        <is>
          <t>گفتار و تایپ</t>
        </is>
      </c>
      <c r="C24" s="2" t="inlineStr">
        <is>
          <t>متوسط</t>
        </is>
      </c>
      <c r="D24" s="3" t="inlineStr">
        <is>
          <t>امروز دو میلیون و پونصد خرج غذای مهمونای جلسه شد از صندوق</t>
        </is>
      </c>
      <c r="E24" s="2" t="inlineStr"/>
      <c r="F24" s="3" t="inlineStr">
        <is>
          <t>ثبت خودکار یا تأیید ساده</t>
        </is>
      </c>
      <c r="G24" s="4" t="n"/>
      <c r="H24" s="4" t="n"/>
      <c r="I24" s="4" t="n"/>
      <c r="J24" s="4" t="n"/>
    </row>
    <row r="25">
      <c r="A25" s="2" t="inlineStr">
        <is>
          <t>R024</t>
        </is>
      </c>
      <c r="B25" s="3" t="inlineStr">
        <is>
          <t>گفتار و تایپ</t>
        </is>
      </c>
      <c r="C25" s="2" t="inlineStr">
        <is>
          <t>متوسط</t>
        </is>
      </c>
      <c r="D25" s="3" t="inlineStr">
        <is>
          <t>پول اینترنت دفتر یک و دویست شد، از ملت رفت</t>
        </is>
      </c>
      <c r="E25" s="2" t="inlineStr"/>
      <c r="F25" s="3" t="inlineStr">
        <is>
          <t>ثبت خودکار یا تأیید ساده</t>
        </is>
      </c>
      <c r="G25" s="4" t="n"/>
      <c r="H25" s="4" t="n"/>
      <c r="I25" s="4" t="n"/>
      <c r="J25" s="4" t="n"/>
    </row>
    <row r="26">
      <c r="A26" s="2" t="inlineStr">
        <is>
          <t>R025</t>
        </is>
      </c>
      <c r="B26" s="3" t="inlineStr">
        <is>
          <t>بدهی و طلب باز</t>
        </is>
      </c>
      <c r="C26" s="2" t="inlineStr">
        <is>
          <t>سخت</t>
        </is>
      </c>
      <c r="D26" s="3" t="inlineStr">
        <is>
          <t>قبض برق مهر مغازه ۴ میلیون تومان اومده ولی قراره تا آبان پرداختش کنیم.</t>
        </is>
      </c>
      <c r="E26" s="2" t="inlineStr"/>
      <c r="F26" s="3" t="inlineStr">
        <is>
          <t>کارت سؤال، بعد ثبت</t>
        </is>
      </c>
      <c r="G26" s="4" t="n"/>
      <c r="H26" s="4" t="n"/>
      <c r="I26" s="4" t="n"/>
      <c r="J26" s="4" t="n"/>
    </row>
    <row r="27">
      <c r="A27" s="2" t="inlineStr">
        <is>
          <t>R026</t>
        </is>
      </c>
      <c r="B27" s="3" t="inlineStr">
        <is>
          <t>بدهی و طلب باز</t>
        </is>
      </c>
      <c r="C27" s="2" t="inlineStr">
        <is>
          <t>متوسط</t>
        </is>
      </c>
      <c r="D27" s="3" t="inlineStr">
        <is>
          <t>فاکتور فروش ۲۵ میلیونی برای شرکت آریا تجارت زدیم، قراره آخر ماه بپردازه.</t>
        </is>
      </c>
      <c r="E27" s="2" t="inlineStr"/>
      <c r="F27" s="3" t="inlineStr">
        <is>
          <t>ثبت خودکار یا تأیید ساده</t>
        </is>
      </c>
      <c r="G27" s="4" t="n"/>
      <c r="H27" s="4" t="n"/>
      <c r="I27" s="4" t="n"/>
      <c r="J27" s="4" t="n"/>
    </row>
    <row r="28">
      <c r="A28" s="2" t="inlineStr">
        <is>
          <t>R027</t>
        </is>
      </c>
      <c r="B28" s="3" t="inlineStr">
        <is>
          <t>بدهی و طلب باز</t>
        </is>
      </c>
      <c r="C28" s="2" t="inlineStr">
        <is>
          <t>سخت</t>
        </is>
      </c>
      <c r="D28" s="3" t="inlineStr">
        <is>
          <t>از پخش گلستان ۱۸ میلیون جنس گرفتیم، پولش هفتهٔ بعد.</t>
        </is>
      </c>
      <c r="E28" s="2" t="inlineStr"/>
      <c r="F28" s="3" t="inlineStr">
        <is>
          <t>کارت سؤال، بعد ثبت</t>
        </is>
      </c>
      <c r="G28" s="4" t="n"/>
      <c r="H28" s="4" t="n"/>
      <c r="I28" s="4" t="n"/>
      <c r="J28" s="4" t="n"/>
    </row>
    <row r="29">
      <c r="A29" s="2" t="inlineStr">
        <is>
          <t>R028</t>
        </is>
      </c>
      <c r="B29" s="3" t="inlineStr">
        <is>
          <t>بدهی و طلب باز</t>
        </is>
      </c>
      <c r="C29" s="2" t="inlineStr">
        <is>
          <t>متوسط</t>
        </is>
      </c>
      <c r="D29" s="3" t="inlineStr">
        <is>
          <t>تعمیرکار اومد کولر رو درست کرد، ۳ میلیون شد، هنوز بهش ندادیم.</t>
        </is>
      </c>
      <c r="E29" s="2" t="inlineStr"/>
      <c r="F29" s="3" t="inlineStr">
        <is>
          <t>کارت سؤال، بعد ثبت</t>
        </is>
      </c>
      <c r="G29" s="4" t="n"/>
      <c r="H29" s="4" t="n"/>
      <c r="I29" s="4" t="n"/>
      <c r="J29" s="4" t="n"/>
    </row>
    <row r="30">
      <c r="A30" s="2" t="inlineStr">
        <is>
          <t>R029</t>
        </is>
      </c>
      <c r="B30" s="3" t="inlineStr">
        <is>
          <t>بدهی و طلب باز</t>
        </is>
      </c>
      <c r="C30" s="2" t="inlineStr">
        <is>
          <t>سخت</t>
        </is>
      </c>
      <c r="D30" s="3" t="inlineStr">
        <is>
          <t>حقوق مهر رو هنوز ندادیم؛ ۴۰ میلیون خالص می‌شه.</t>
        </is>
      </c>
      <c r="E30" s="2" t="inlineStr"/>
      <c r="F30" s="3" t="inlineStr">
        <is>
          <t>صف حسابدار ← «تحلیل کن»</t>
        </is>
      </c>
      <c r="G30" s="4" t="n"/>
      <c r="H30" s="4" t="n"/>
      <c r="I30" s="4" t="n"/>
      <c r="J30" s="4" t="n"/>
    </row>
    <row r="31">
      <c r="A31" s="2" t="inlineStr">
        <is>
          <t>R030</t>
        </is>
      </c>
      <c r="B31" s="3" t="inlineStr">
        <is>
          <t>بدهی و طلب باز</t>
        </is>
      </c>
      <c r="C31" s="2" t="inlineStr">
        <is>
          <t>متوسط</t>
        </is>
      </c>
      <c r="D31" s="3" t="inlineStr">
        <is>
          <t>خدمات پشتیبانی مهر رو برای مشتری انجام دادیم، ۶ میلیون؛ فاکتورش رفته ولی هنوز پول نداده.</t>
        </is>
      </c>
      <c r="E31" s="2" t="inlineStr"/>
      <c r="F31" s="3" t="inlineStr">
        <is>
          <t>کارت سؤال، بعد ثبت</t>
        </is>
      </c>
      <c r="G31" s="4" t="n"/>
      <c r="H31" s="4" t="n"/>
      <c r="I31" s="4" t="n"/>
      <c r="J31" s="4" t="n"/>
    </row>
    <row r="32">
      <c r="A32" s="2" t="inlineStr">
        <is>
          <t>R031</t>
        </is>
      </c>
      <c r="B32" s="3" t="inlineStr">
        <is>
          <t>بدهی و طلب باز</t>
        </is>
      </c>
      <c r="C32" s="2" t="inlineStr">
        <is>
          <t>متوسط</t>
        </is>
      </c>
      <c r="D32" s="3" t="inlineStr">
        <is>
          <t>قبض گاز ۸۵۰ هزار تومن اومده، پرداخت نشده.</t>
        </is>
      </c>
      <c r="E32" s="2" t="inlineStr"/>
      <c r="F32" s="3" t="inlineStr">
        <is>
          <t>کارت سؤال، بعد ثبت</t>
        </is>
      </c>
      <c r="G32" s="4" t="n"/>
      <c r="H32" s="4" t="n"/>
      <c r="I32" s="4" t="n"/>
      <c r="J32" s="4" t="n"/>
    </row>
    <row r="33">
      <c r="A33" s="2" t="inlineStr">
        <is>
          <t>R032</t>
        </is>
      </c>
      <c r="B33" s="3" t="inlineStr">
        <is>
          <t>بدهی و طلب باز</t>
        </is>
      </c>
      <c r="C33" s="2" t="inlineStr">
        <is>
          <t>سخت</t>
        </is>
      </c>
      <c r="D33" s="3" t="inlineStr">
        <is>
          <t>آقای کاظمی ۱۲ میلیون نسیه از ما جنس برد.</t>
        </is>
      </c>
      <c r="E33" s="2" t="inlineStr"/>
      <c r="F33" s="3" t="inlineStr">
        <is>
          <t>ثبت خودکار یا تأیید ساده</t>
        </is>
      </c>
      <c r="G33" s="4" t="n"/>
      <c r="H33" s="4" t="n"/>
      <c r="I33" s="4" t="n"/>
      <c r="J33" s="4" t="n"/>
    </row>
    <row r="34">
      <c r="A34" s="2" t="inlineStr">
        <is>
          <t>R033</t>
        </is>
      </c>
      <c r="B34" s="3" t="inlineStr">
        <is>
          <t>تسویه</t>
        </is>
      </c>
      <c r="C34" s="2" t="inlineStr">
        <is>
          <t>متوسط</t>
        </is>
      </c>
      <c r="D34" s="3" t="inlineStr">
        <is>
          <t>شرکت آریا تجارت ۲۵ میلیون بابت فاکتور فروش قبلی واریز کرد به ملت.</t>
        </is>
      </c>
      <c r="E34" s="2" t="inlineStr">
        <is>
          <t>R026</t>
        </is>
      </c>
      <c r="F34" s="3" t="inlineStr">
        <is>
          <t>ثبت خودکار یا تأیید ساده</t>
        </is>
      </c>
      <c r="G34" s="4" t="n"/>
      <c r="H34" s="4" t="n"/>
      <c r="I34" s="4" t="n"/>
      <c r="J34" s="4" t="n"/>
    </row>
    <row r="35">
      <c r="A35" s="2" t="inlineStr">
        <is>
          <t>R034</t>
        </is>
      </c>
      <c r="B35" s="3" t="inlineStr">
        <is>
          <t>تسویه</t>
        </is>
      </c>
      <c r="C35" s="2" t="inlineStr">
        <is>
          <t>متوسط</t>
        </is>
      </c>
      <c r="D35" s="3" t="inlineStr">
        <is>
          <t>۱۵ میلیون از ۱۸ میلیون بدهی پخش گلستان رو از تجارت دادیم.</t>
        </is>
      </c>
      <c r="E35" s="2" t="inlineStr">
        <is>
          <t>R027</t>
        </is>
      </c>
      <c r="F35" s="3" t="inlineStr">
        <is>
          <t>ثبت خودکار یا تأیید ساده</t>
        </is>
      </c>
      <c r="G35" s="4" t="n"/>
      <c r="H35" s="4" t="n"/>
      <c r="I35" s="4" t="n"/>
      <c r="J35" s="4" t="n"/>
    </row>
    <row r="36">
      <c r="A36" s="2" t="inlineStr">
        <is>
          <t>R035</t>
        </is>
      </c>
      <c r="B36" s="3" t="inlineStr">
        <is>
          <t>تسویه</t>
        </is>
      </c>
      <c r="C36" s="2" t="inlineStr">
        <is>
          <t>سخت</t>
        </is>
      </c>
      <c r="D36" s="3" t="inlineStr">
        <is>
          <t>قبض برق مهر که اومده بود رو امروز از ملت پرداخت کردیم، ۴ میلیون.</t>
        </is>
      </c>
      <c r="E36" s="2" t="inlineStr">
        <is>
          <t>R025</t>
        </is>
      </c>
      <c r="F36" s="3" t="inlineStr">
        <is>
          <t>ثبت خودکار یا تأیید ساده</t>
        </is>
      </c>
      <c r="G36" s="4" t="n"/>
      <c r="H36" s="4" t="n"/>
      <c r="I36" s="4" t="n"/>
      <c r="J36" s="4" t="n"/>
    </row>
    <row r="37">
      <c r="A37" s="2" t="inlineStr">
        <is>
          <t>R036</t>
        </is>
      </c>
      <c r="B37" s="3" t="inlineStr">
        <is>
          <t>تسویه</t>
        </is>
      </c>
      <c r="C37" s="2" t="inlineStr">
        <is>
          <t>سخت</t>
        </is>
      </c>
      <c r="D37" s="3" t="inlineStr">
        <is>
          <t>آقای کاظمی ۵ میلیون از بدهیش رو نقد آورد.</t>
        </is>
      </c>
      <c r="E37" s="2" t="inlineStr">
        <is>
          <t>R032</t>
        </is>
      </c>
      <c r="F37" s="3" t="inlineStr">
        <is>
          <t>ثبت خودکار یا تأیید ساده</t>
        </is>
      </c>
      <c r="G37" s="4" t="n"/>
      <c r="H37" s="4" t="n"/>
      <c r="I37" s="4" t="n"/>
      <c r="J37" s="4" t="n"/>
    </row>
    <row r="38">
      <c r="A38" s="2" t="inlineStr">
        <is>
          <t>R037</t>
        </is>
      </c>
      <c r="B38" s="3" t="inlineStr">
        <is>
          <t>تسویه</t>
        </is>
      </c>
      <c r="C38" s="2" t="inlineStr">
        <is>
          <t>متوسط</t>
        </is>
      </c>
      <c r="D38" s="3" t="inlineStr">
        <is>
          <t>۳ میلیون آقای رضایی بابت تعمیر کولر رو از صندوق دادیم.</t>
        </is>
      </c>
      <c r="E38" s="2" t="inlineStr">
        <is>
          <t>R028</t>
        </is>
      </c>
      <c r="F38" s="3" t="inlineStr">
        <is>
          <t>ثبت خودکار یا تأیید ساده</t>
        </is>
      </c>
      <c r="G38" s="4" t="n"/>
      <c r="H38" s="4" t="n"/>
      <c r="I38" s="4" t="n"/>
      <c r="J38" s="4" t="n"/>
    </row>
    <row r="39">
      <c r="A39" s="2" t="inlineStr">
        <is>
          <t>R038</t>
        </is>
      </c>
      <c r="B39" s="3" t="inlineStr">
        <is>
          <t>تسویه</t>
        </is>
      </c>
      <c r="C39" s="2" t="inlineStr">
        <is>
          <t>سخت</t>
        </is>
      </c>
      <c r="D39" s="3" t="inlineStr">
        <is>
          <t>۱۰ میلیون بدهی قبلی به آقای نوری رو تسویه کردیم از ملت.</t>
        </is>
      </c>
      <c r="E39" s="2" t="inlineStr"/>
      <c r="F39" s="3" t="inlineStr">
        <is>
          <t>صف حسابدار ← «تحلیل کن»</t>
        </is>
      </c>
      <c r="G39" s="4" t="n"/>
      <c r="H39" s="4" t="n"/>
      <c r="I39" s="4" t="n"/>
      <c r="J39" s="4" t="n"/>
    </row>
    <row r="40">
      <c r="A40" s="2" t="inlineStr">
        <is>
          <t>R039</t>
        </is>
      </c>
      <c r="B40" s="3" t="inlineStr">
        <is>
          <t>شریک و مالک</t>
        </is>
      </c>
      <c r="C40" s="2" t="inlineStr">
        <is>
          <t>سخت</t>
        </is>
      </c>
      <c r="D40" s="3" t="inlineStr">
        <is>
          <t>شریکمون آقای سعیدی ۵۰ میلیون گذاشت تو کار و ریخت به ملت؛ گفت هر وقت لازم شد پسش میدیم.</t>
        </is>
      </c>
      <c r="E40" s="2" t="inlineStr"/>
      <c r="F40" s="3" t="inlineStr">
        <is>
          <t>صف حسابدار ← «تحلیل کن»</t>
        </is>
      </c>
      <c r="G40" s="4" t="n"/>
      <c r="H40" s="4" t="n"/>
      <c r="I40" s="4" t="n"/>
      <c r="J40" s="4" t="n"/>
    </row>
    <row r="41">
      <c r="A41" s="2" t="inlineStr">
        <is>
          <t>R040</t>
        </is>
      </c>
      <c r="B41" s="3" t="inlineStr">
        <is>
          <t>شریک و مالک</t>
        </is>
      </c>
      <c r="C41" s="2" t="inlineStr">
        <is>
          <t>سخت</t>
        </is>
      </c>
      <c r="D41" s="3" t="inlineStr">
        <is>
          <t>خانم کریمی شریکمون ۲۰ میلیون ریخت به حساب شرکت.</t>
        </is>
      </c>
      <c r="E41" s="2" t="inlineStr"/>
      <c r="F41" s="3" t="inlineStr">
        <is>
          <t>صف حسابدار ← «تحلیل کن»</t>
        </is>
      </c>
      <c r="G41" s="4" t="n"/>
      <c r="H41" s="4" t="n"/>
      <c r="I41" s="4" t="n"/>
      <c r="J41" s="4" t="n"/>
    </row>
    <row r="42">
      <c r="A42" s="2" t="inlineStr">
        <is>
          <t>R041</t>
        </is>
      </c>
      <c r="B42" s="3" t="inlineStr">
        <is>
          <t>شریک و مالک</t>
        </is>
      </c>
      <c r="C42" s="2" t="inlineStr">
        <is>
          <t>متوسط</t>
        </is>
      </c>
      <c r="D42" s="3" t="inlineStr">
        <is>
          <t>مجمع افزایش سرمایه رو تصویب کرد و آقای سعیدی ۱۰۰ میلیون آوردهٔ سرمایه ریخت به ملت.</t>
        </is>
      </c>
      <c r="E42" s="2" t="inlineStr"/>
      <c r="F42" s="3" t="inlineStr">
        <is>
          <t>صف حسابدار ← «تحلیل کن»</t>
        </is>
      </c>
      <c r="G42" s="4" t="n"/>
      <c r="H42" s="4" t="n"/>
      <c r="I42" s="4" t="n"/>
      <c r="J42" s="4" t="n"/>
    </row>
    <row r="43">
      <c r="A43" s="2" t="inlineStr">
        <is>
          <t>R042</t>
        </is>
      </c>
      <c r="B43" s="3" t="inlineStr">
        <is>
          <t>شریک و مالک</t>
        </is>
      </c>
      <c r="C43" s="2" t="inlineStr">
        <is>
          <t>متوسط</t>
        </is>
      </c>
      <c r="D43" s="3" t="inlineStr">
        <is>
          <t>آقای سعیدی ۸ میلیون از حساب تجارت برای خرج شخصی خودش برداشت.</t>
        </is>
      </c>
      <c r="E43" s="2" t="inlineStr"/>
      <c r="F43" s="3" t="inlineStr">
        <is>
          <t>صف حسابدار ← «تحلیل کن»</t>
        </is>
      </c>
      <c r="G43" s="4" t="n"/>
      <c r="H43" s="4" t="n"/>
      <c r="I43" s="4" t="n"/>
      <c r="J43" s="4" t="n"/>
    </row>
    <row r="44">
      <c r="A44" s="2" t="inlineStr">
        <is>
          <t>R043</t>
        </is>
      </c>
      <c r="B44" s="3" t="inlineStr">
        <is>
          <t>شریک و مالک</t>
        </is>
      </c>
      <c r="C44" s="2" t="inlineStr">
        <is>
          <t>سخت</t>
        </is>
      </c>
      <c r="D44" s="3" t="inlineStr">
        <is>
          <t>قبض تلفن دفتر رو خانم کریمی از جیب خودش داد، ۷۰۰ هزار تومن.</t>
        </is>
      </c>
      <c r="E44" s="2" t="inlineStr"/>
      <c r="F44" s="3" t="inlineStr">
        <is>
          <t>کارت سؤال، بعد ثبت</t>
        </is>
      </c>
      <c r="G44" s="4" t="n"/>
      <c r="H44" s="4" t="n"/>
      <c r="I44" s="4" t="n"/>
      <c r="J44" s="4" t="n"/>
    </row>
    <row r="45">
      <c r="A45" s="2" t="inlineStr">
        <is>
          <t>R044</t>
        </is>
      </c>
      <c r="B45" s="3" t="inlineStr">
        <is>
          <t>شریک و مالک</t>
        </is>
      </c>
      <c r="C45" s="2" t="inlineStr">
        <is>
          <t>متوسط</t>
        </is>
      </c>
      <c r="D45" s="3" t="inlineStr">
        <is>
          <t>۲۰ میلیون از پولی که آقای سعیدی گذاشته بود رو بهش پس دادیم از ملت.</t>
        </is>
      </c>
      <c r="E45" s="2" t="inlineStr">
        <is>
          <t>R039</t>
        </is>
      </c>
      <c r="F45" s="3" t="inlineStr">
        <is>
          <t>صف حسابدار ← «تحلیل کن»</t>
        </is>
      </c>
      <c r="G45" s="4" t="n"/>
      <c r="H45" s="4" t="n"/>
      <c r="I45" s="4" t="n"/>
      <c r="J45" s="4" t="n"/>
    </row>
    <row r="46">
      <c r="A46" s="2" t="inlineStr">
        <is>
          <t>R045</t>
        </is>
      </c>
      <c r="B46" s="3" t="inlineStr">
        <is>
          <t>شریک و مالک</t>
        </is>
      </c>
      <c r="C46" s="2" t="inlineStr">
        <is>
          <t>متوسط</t>
        </is>
      </c>
      <c r="D46" s="3" t="inlineStr">
        <is>
          <t>آقای سعیدی ۸ میلیونی که برداشته بود رو برگردوند به تجارت.</t>
        </is>
      </c>
      <c r="E46" s="2" t="inlineStr">
        <is>
          <t>R042</t>
        </is>
      </c>
      <c r="F46" s="3" t="inlineStr">
        <is>
          <t>صف حسابدار ← «تحلیل کن»</t>
        </is>
      </c>
      <c r="G46" s="4" t="n"/>
      <c r="H46" s="4" t="n"/>
      <c r="I46" s="4" t="n"/>
      <c r="J46" s="4" t="n"/>
    </row>
    <row r="47">
      <c r="A47" s="2" t="inlineStr">
        <is>
          <t>R046</t>
        </is>
      </c>
      <c r="B47" s="3" t="inlineStr">
        <is>
          <t>شریک و مالک</t>
        </is>
      </c>
      <c r="C47" s="2" t="inlineStr">
        <is>
          <t>سخت</t>
        </is>
      </c>
      <c r="D47" s="3" t="inlineStr">
        <is>
          <t>شریکم ۱۰ میلیون برداشت کرد، گفت پسش میده.</t>
        </is>
      </c>
      <c r="E47" s="2" t="inlineStr"/>
      <c r="F47" s="3" t="inlineStr">
        <is>
          <t>صف حسابدار ← «تحلیل کن»</t>
        </is>
      </c>
      <c r="G47" s="4" t="n"/>
      <c r="H47" s="4" t="n"/>
      <c r="I47" s="4" t="n"/>
      <c r="J47" s="4" t="n"/>
    </row>
    <row r="48">
      <c r="A48" s="2" t="inlineStr">
        <is>
          <t>R047</t>
        </is>
      </c>
      <c r="B48" s="3" t="inlineStr">
        <is>
          <t>شریک و مالک</t>
        </is>
      </c>
      <c r="C48" s="2" t="inlineStr">
        <is>
          <t>سخت</t>
        </is>
      </c>
      <c r="D48" s="3" t="inlineStr">
        <is>
          <t>برادرم که شریکمه ده میلیون به حساب شرکت ریخت برای خرید مواد اولیه.</t>
        </is>
      </c>
      <c r="E48" s="2" t="inlineStr"/>
      <c r="F48" s="3" t="inlineStr">
        <is>
          <t>صف حسابدار ← «تحلیل کن»</t>
        </is>
      </c>
      <c r="G48" s="4" t="n"/>
      <c r="H48" s="4" t="n"/>
      <c r="I48" s="4" t="n"/>
      <c r="J48" s="4" t="n"/>
    </row>
    <row r="49">
      <c r="A49" s="2" t="inlineStr">
        <is>
          <t>R048</t>
        </is>
      </c>
      <c r="B49" s="3" t="inlineStr">
        <is>
          <t>دارایی ثابت و تعمیر</t>
        </is>
      </c>
      <c r="C49" s="2" t="inlineStr">
        <is>
          <t>سخت</t>
        </is>
      </c>
      <c r="D49" s="3" t="inlineStr">
        <is>
          <t>یه کلید برق ۴۵۰ هزار تومانی برای تابلوی برق دفتر خریدیم که کلید سوختهٔ قبلی رو عوض کردیم؛ نقد از صندوق.</t>
        </is>
      </c>
      <c r="E49" s="2" t="inlineStr"/>
      <c r="F49" s="3" t="inlineStr">
        <is>
          <t>ثبت خودکار یا تأیید ساده</t>
        </is>
      </c>
      <c r="G49" s="4" t="n"/>
      <c r="H49" s="4" t="n"/>
      <c r="I49" s="4" t="n"/>
      <c r="J49" s="4" t="n"/>
    </row>
    <row r="50">
      <c r="A50" s="2" t="inlineStr">
        <is>
          <t>R049</t>
        </is>
      </c>
      <c r="B50" s="3" t="inlineStr">
        <is>
          <t>دارایی ثابت و تعمیر</t>
        </is>
      </c>
      <c r="C50" s="2" t="inlineStr">
        <is>
          <t>سخت</t>
        </is>
      </c>
      <c r="D50" s="3" t="inlineStr">
        <is>
          <t>یه پرینتر لیزری ۲۵ میلیون تومانی برای دفتر از حساب ملت خریدیم</t>
        </is>
      </c>
      <c r="E50" s="2" t="inlineStr"/>
      <c r="F50" s="3" t="inlineStr">
        <is>
          <t>صف حسابدار ← «تحلیل کن»</t>
        </is>
      </c>
      <c r="G50" s="4" t="n"/>
      <c r="H50" s="4" t="n"/>
      <c r="I50" s="4" t="n"/>
      <c r="J50" s="4" t="n"/>
    </row>
    <row r="51">
      <c r="A51" s="2" t="inlineStr">
        <is>
          <t>R050</t>
        </is>
      </c>
      <c r="B51" s="3" t="inlineStr">
        <is>
          <t>دارایی ثابت و تعمیر</t>
        </is>
      </c>
      <c r="C51" s="2" t="inlineStr">
        <is>
          <t>سخت</t>
        </is>
      </c>
      <c r="D51" s="3" t="inlineStr">
        <is>
          <t>تابلوی برق ساختمان رو با ۲۲ میلیون تومان کامل بازسازی و ارتقا دادیم؛ نقد از صندوق.</t>
        </is>
      </c>
      <c r="E51" s="2" t="inlineStr"/>
      <c r="F51" s="3" t="inlineStr">
        <is>
          <t>صف حسابدار ← «تحلیل کن»</t>
        </is>
      </c>
      <c r="G51" s="4" t="n"/>
      <c r="H51" s="4" t="n"/>
      <c r="I51" s="4" t="n"/>
      <c r="J51" s="4" t="n"/>
    </row>
    <row r="52">
      <c r="A52" s="2" t="inlineStr">
        <is>
          <t>R051</t>
        </is>
      </c>
      <c r="B52" s="3" t="inlineStr">
        <is>
          <t>دارایی ثابت و تعمیر</t>
        </is>
      </c>
      <c r="C52" s="2" t="inlineStr">
        <is>
          <t>متوسط</t>
        </is>
      </c>
      <c r="D52" s="3" t="inlineStr">
        <is>
          <t>لپ‌تاپ ۱۸ میلیونی برای حسابدار از تجارت خریدیم.</t>
        </is>
      </c>
      <c r="E52" s="2" t="inlineStr"/>
      <c r="F52" s="3" t="inlineStr">
        <is>
          <t>کارت سؤال، بعد ثبت</t>
        </is>
      </c>
      <c r="G52" s="4" t="n"/>
      <c r="H52" s="4" t="n"/>
      <c r="I52" s="4" t="n"/>
      <c r="J52" s="4" t="n"/>
    </row>
    <row r="53">
      <c r="A53" s="2" t="inlineStr">
        <is>
          <t>R052</t>
        </is>
      </c>
      <c r="B53" s="3" t="inlineStr">
        <is>
          <t>دارایی ثابت و تعمیر</t>
        </is>
      </c>
      <c r="C53" s="2" t="inlineStr">
        <is>
          <t>متوسط</t>
        </is>
      </c>
      <c r="D53" s="3" t="inlineStr">
        <is>
          <t>ماشین شرکت تصادف کرد، صافکاری و رنگ ۹ میلیون شد، از ملت دادیم.</t>
        </is>
      </c>
      <c r="E53" s="2" t="inlineStr"/>
      <c r="F53" s="3" t="inlineStr">
        <is>
          <t>ثبت خودکار یا تأیید ساده</t>
        </is>
      </c>
      <c r="G53" s="4" t="n"/>
      <c r="H53" s="4" t="n"/>
      <c r="I53" s="4" t="n"/>
      <c r="J53" s="4" t="n"/>
    </row>
    <row r="54">
      <c r="A54" s="2" t="inlineStr">
        <is>
          <t>R053</t>
        </is>
      </c>
      <c r="B54" s="3" t="inlineStr">
        <is>
          <t>دارایی ثابت و تعمیر</t>
        </is>
      </c>
      <c r="C54" s="2" t="inlineStr">
        <is>
          <t>سخت</t>
        </is>
      </c>
      <c r="D54" s="3" t="inlineStr">
        <is>
          <t>موتور کولر سوخت، یه موتور نو ۶ میلیونی جاش گذاشتیم، نقد.</t>
        </is>
      </c>
      <c r="E54" s="2" t="inlineStr"/>
      <c r="F54" s="3" t="inlineStr">
        <is>
          <t>ثبت خودکار یا تأیید ساده</t>
        </is>
      </c>
      <c r="G54" s="4" t="n"/>
      <c r="H54" s="4" t="n"/>
      <c r="I54" s="4" t="n"/>
      <c r="J54" s="4" t="n"/>
    </row>
    <row r="55">
      <c r="A55" s="2" t="inlineStr">
        <is>
          <t>R054</t>
        </is>
      </c>
      <c r="B55" s="3" t="inlineStr">
        <is>
          <t>پیش‌پرداخت، پیش‌دریافت، ودیعه</t>
        </is>
      </c>
      <c r="C55" s="2" t="inlineStr">
        <is>
          <t>سخت</t>
        </is>
      </c>
      <c r="D55" s="3" t="inlineStr">
        <is>
          <t>اجارهٔ شش‌ماههٔ دفتر رو ۳۶ میلیون تومان پیش‌پرداخت کردیم از بانک ملت.</t>
        </is>
      </c>
      <c r="E55" s="2" t="inlineStr"/>
      <c r="F55" s="3" t="inlineStr">
        <is>
          <t>صف حسابدار ← «تحلیل کن»</t>
        </is>
      </c>
      <c r="G55" s="4" t="n"/>
      <c r="H55" s="4" t="n"/>
      <c r="I55" s="4" t="n"/>
      <c r="J55" s="4" t="n"/>
    </row>
    <row r="56">
      <c r="A56" s="2" t="inlineStr">
        <is>
          <t>R055</t>
        </is>
      </c>
      <c r="B56" s="3" t="inlineStr">
        <is>
          <t>پیش‌پرداخت، پیش‌دریافت، ودیعه</t>
        </is>
      </c>
      <c r="C56" s="2" t="inlineStr">
        <is>
          <t>سخت</t>
        </is>
      </c>
      <c r="D56" s="3" t="inlineStr">
        <is>
          <t>بیمهٔ آتش‌سوزی انبار یک‌ساله ۱۲ میلیون از ملت.</t>
        </is>
      </c>
      <c r="E56" s="2" t="inlineStr"/>
      <c r="F56" s="3" t="inlineStr">
        <is>
          <t>صف حسابدار ← «تحلیل کن»</t>
        </is>
      </c>
      <c r="G56" s="4" t="n"/>
      <c r="H56" s="4" t="n"/>
      <c r="I56" s="4" t="n"/>
      <c r="J56" s="4" t="n"/>
    </row>
    <row r="57">
      <c r="A57" s="2" t="inlineStr">
        <is>
          <t>R056</t>
        </is>
      </c>
      <c r="B57" s="3" t="inlineStr">
        <is>
          <t>پیش‌پرداخت، پیش‌دریافت، ودیعه</t>
        </is>
      </c>
      <c r="C57" s="2" t="inlineStr">
        <is>
          <t>سخت</t>
        </is>
      </c>
      <c r="D57" s="3" t="inlineStr">
        <is>
          <t>بیمهٔ حوادث کارگران کارگاه یک‌ساله ۱۲ میلیون تومان از بانک ملت پرداخت شد.</t>
        </is>
      </c>
      <c r="E57" s="2" t="inlineStr"/>
      <c r="F57" s="3" t="inlineStr">
        <is>
          <t>صف حسابدار ← «تحلیل کن»</t>
        </is>
      </c>
      <c r="G57" s="4" t="n"/>
      <c r="H57" s="4" t="n"/>
      <c r="I57" s="4" t="n"/>
      <c r="J57" s="4" t="n"/>
    </row>
    <row r="58">
      <c r="A58" s="2" t="inlineStr">
        <is>
          <t>R057</t>
        </is>
      </c>
      <c r="B58" s="3" t="inlineStr">
        <is>
          <t>پیش‌پرداخت، پیش‌دریافت، ودیعه</t>
        </is>
      </c>
      <c r="C58" s="2" t="inlineStr">
        <is>
          <t>سخت</t>
        </is>
      </c>
      <c r="D58" s="3" t="inlineStr">
        <is>
          <t>مشتری ۱۵ میلیون پیش‌پرداخت داد برای پروژه‌ای که ماه بعد شروع می‌کنیم، ریخت به ملت.</t>
        </is>
      </c>
      <c r="E58" s="2" t="inlineStr"/>
      <c r="F58" s="3" t="inlineStr">
        <is>
          <t>صف حسابدار ← «تحلیل کن»</t>
        </is>
      </c>
      <c r="G58" s="4" t="n"/>
      <c r="H58" s="4" t="n"/>
      <c r="I58" s="4" t="n"/>
      <c r="J58" s="4" t="n"/>
    </row>
    <row r="59">
      <c r="A59" s="2" t="inlineStr">
        <is>
          <t>R058</t>
        </is>
      </c>
      <c r="B59" s="3" t="inlineStr">
        <is>
          <t>پیش‌پرداخت، پیش‌دریافت، ودیعه</t>
        </is>
      </c>
      <c r="C59" s="2" t="inlineStr">
        <is>
          <t>سخت</t>
        </is>
      </c>
      <c r="D59" s="3" t="inlineStr">
        <is>
          <t>۵۰ میلیون ودیعهٔ اجارهٔ انبار جدید رو به موجر دادیم از ملت؛ موقع تخلیه پس می‌ده.</t>
        </is>
      </c>
      <c r="E59" s="2" t="inlineStr"/>
      <c r="F59" s="3" t="inlineStr">
        <is>
          <t>صف حسابدار ← «تحلیل کن»</t>
        </is>
      </c>
      <c r="G59" s="4" t="n"/>
      <c r="H59" s="4" t="n"/>
      <c r="I59" s="4" t="n"/>
      <c r="J59" s="4" t="n"/>
    </row>
    <row r="60">
      <c r="A60" s="2" t="inlineStr">
        <is>
          <t>R059</t>
        </is>
      </c>
      <c r="B60" s="3" t="inlineStr">
        <is>
          <t>پیش‌پرداخت، پیش‌دریافت، ودیعه</t>
        </is>
      </c>
      <c r="C60" s="2" t="inlineStr">
        <is>
          <t>سخت</t>
        </is>
      </c>
      <c r="D60" s="3" t="inlineStr">
        <is>
          <t>آقای اسدی ۵۰ میلیون ودیعهٔ انبار رو پس داد چون قرارداد فسخ شد، ریخت به ملت.</t>
        </is>
      </c>
      <c r="E60" s="2" t="inlineStr">
        <is>
          <t>R058</t>
        </is>
      </c>
      <c r="F60" s="3" t="inlineStr">
        <is>
          <t>صف حسابدار ← «تحلیل کن»</t>
        </is>
      </c>
      <c r="G60" s="4" t="n"/>
      <c r="H60" s="4" t="n"/>
      <c r="I60" s="4" t="n"/>
      <c r="J60" s="4" t="n"/>
    </row>
    <row r="61">
      <c r="A61" s="2" t="inlineStr">
        <is>
          <t>R060</t>
        </is>
      </c>
      <c r="B61" s="3" t="inlineStr">
        <is>
          <t>پیش‌پرداخت، پیش‌دریافت، ودیعه</t>
        </is>
      </c>
      <c r="C61" s="2" t="inlineStr">
        <is>
          <t>خیلی سخت</t>
        </is>
      </c>
      <c r="D61" s="3" t="inlineStr">
        <is>
          <t>پروژهٔ شرکت آریا تجارت که پیش‌پرداختش رو گرفته بودیم تموم شد و تحویل دادیم.</t>
        </is>
      </c>
      <c r="E61" s="2" t="inlineStr">
        <is>
          <t>R057</t>
        </is>
      </c>
      <c r="F61" s="3" t="inlineStr">
        <is>
          <t>صف حسابدار ← «تحلیل کن»</t>
        </is>
      </c>
      <c r="G61" s="4" t="n"/>
      <c r="H61" s="4" t="n"/>
      <c r="I61" s="4" t="n"/>
      <c r="J61" s="4" t="n"/>
    </row>
    <row r="62">
      <c r="A62" s="2" t="inlineStr">
        <is>
          <t>R061</t>
        </is>
      </c>
      <c r="B62" s="3" t="inlineStr">
        <is>
          <t>پیش‌پرداخت، پیش‌دریافت، ودیعه</t>
        </is>
      </c>
      <c r="C62" s="2" t="inlineStr">
        <is>
          <t>خیلی سخت</t>
        </is>
      </c>
      <c r="D62" s="3" t="inlineStr">
        <is>
          <t>بیمهٔ انبار رو فسخ کردیم، ۶ میلیون پس دادن به ملت.</t>
        </is>
      </c>
      <c r="E62" s="2" t="inlineStr">
        <is>
          <t>R055</t>
        </is>
      </c>
      <c r="F62" s="3" t="inlineStr">
        <is>
          <t>صف حسابدار ← «تحلیل کن»</t>
        </is>
      </c>
      <c r="G62" s="4" t="n"/>
      <c r="H62" s="4" t="n"/>
      <c r="I62" s="4" t="n"/>
      <c r="J62" s="4" t="n"/>
    </row>
    <row r="63">
      <c r="A63" s="2" t="inlineStr">
        <is>
          <t>R062</t>
        </is>
      </c>
      <c r="B63" s="3" t="inlineStr">
        <is>
          <t>حقوق و کارکنان</t>
        </is>
      </c>
      <c r="C63" s="2" t="inlineStr">
        <is>
          <t>متوسط</t>
        </is>
      </c>
      <c r="D63" s="3" t="inlineStr">
        <is>
          <t>حقوق مهر کارمندها ۳۰ میلیون تومان خالص بود و از بانک ملت واریز شد.</t>
        </is>
      </c>
      <c r="E63" s="2" t="inlineStr"/>
      <c r="F63" s="3" t="inlineStr">
        <is>
          <t>صف حسابدار ← «تحلیل کن»</t>
        </is>
      </c>
      <c r="G63" s="4" t="n"/>
      <c r="H63" s="4" t="n"/>
      <c r="I63" s="4" t="n"/>
      <c r="J63" s="4" t="n"/>
    </row>
    <row r="64">
      <c r="A64" s="2" t="inlineStr">
        <is>
          <t>R063</t>
        </is>
      </c>
      <c r="B64" s="3" t="inlineStr">
        <is>
          <t>حقوق و کارکنان</t>
        </is>
      </c>
      <c r="C64" s="2" t="inlineStr">
        <is>
          <t>خیلی سخت</t>
        </is>
      </c>
      <c r="D64" s="3" t="inlineStr">
        <is>
          <t>حقوق ناخالص مهر ۵۰ میلیون بود؛ ۷ میلیون بیمه و ۳ میلیون مالیات کسر شد و ۴۰ میلیون از ملت واریز کردیم.</t>
        </is>
      </c>
      <c r="E64" s="2" t="inlineStr"/>
      <c r="F64" s="3" t="inlineStr">
        <is>
          <t>امتناع درست — شکاف شناخته‌شدهٔ سیستم</t>
        </is>
      </c>
      <c r="G64" s="4" t="n"/>
      <c r="H64" s="4" t="n"/>
      <c r="I64" s="4" t="n"/>
      <c r="J64" s="4" t="n"/>
    </row>
    <row r="65">
      <c r="A65" s="2" t="inlineStr">
        <is>
          <t>R064</t>
        </is>
      </c>
      <c r="B65" s="3" t="inlineStr">
        <is>
          <t>حقوق و کارکنان</t>
        </is>
      </c>
      <c r="C65" s="2" t="inlineStr">
        <is>
          <t>متوسط</t>
        </is>
      </c>
      <c r="D65" s="3" t="inlineStr">
        <is>
          <t>ده میلیون حقوق دادم به کارمندا از ملت.</t>
        </is>
      </c>
      <c r="E65" s="2" t="inlineStr"/>
      <c r="F65" s="3" t="inlineStr">
        <is>
          <t>صف حسابدار ← «تحلیل کن»</t>
        </is>
      </c>
      <c r="G65" s="4" t="n"/>
      <c r="H65" s="4" t="n"/>
      <c r="I65" s="4" t="n"/>
      <c r="J65" s="4" t="n"/>
    </row>
    <row r="66">
      <c r="A66" s="2" t="inlineStr">
        <is>
          <t>R065</t>
        </is>
      </c>
      <c r="B66" s="3" t="inlineStr">
        <is>
          <t>حقوق و کارکنان</t>
        </is>
      </c>
      <c r="C66" s="2" t="inlineStr">
        <is>
          <t>متوسط</t>
        </is>
      </c>
      <c r="D66" s="3" t="inlineStr">
        <is>
          <t>۵ میلیون مساعده به رضا احمدی دادیم از صندوق، از حقوق ماه بعدش کم می‌کنیم.</t>
        </is>
      </c>
      <c r="E66" s="2" t="inlineStr"/>
      <c r="F66" s="3" t="inlineStr">
        <is>
          <t>صف حسابدار ← «تحلیل کن»</t>
        </is>
      </c>
      <c r="G66" s="4" t="n"/>
      <c r="H66" s="4" t="n"/>
      <c r="I66" s="4" t="n"/>
      <c r="J66" s="4" t="n"/>
    </row>
    <row r="67">
      <c r="A67" s="2" t="inlineStr">
        <is>
          <t>R066</t>
        </is>
      </c>
      <c r="B67" s="3" t="inlineStr">
        <is>
          <t>حقوق و کارکنان</t>
        </is>
      </c>
      <c r="C67" s="2" t="inlineStr">
        <is>
          <t>متوسط</t>
        </is>
      </c>
      <c r="D67" s="3" t="inlineStr">
        <is>
          <t>عیدی پرسنل ۲۰ میلیون از تجارت دادیم.</t>
        </is>
      </c>
      <c r="E67" s="2" t="inlineStr"/>
      <c r="F67" s="3" t="inlineStr">
        <is>
          <t>صف حسابدار ← «تحلیل کن»</t>
        </is>
      </c>
      <c r="G67" s="4" t="n"/>
      <c r="H67" s="4" t="n"/>
      <c r="I67" s="4" t="n"/>
      <c r="J67" s="4" t="n"/>
    </row>
    <row r="68">
      <c r="A68" s="2" t="inlineStr">
        <is>
          <t>R067</t>
        </is>
      </c>
      <c r="B68" s="3" t="inlineStr">
        <is>
          <t>حقوق و کارکنان</t>
        </is>
      </c>
      <c r="C68" s="2" t="inlineStr">
        <is>
          <t>خیلی سخت</t>
        </is>
      </c>
      <c r="D68" s="3" t="inlineStr">
        <is>
          <t>لیست بیمهٔ تأمین اجتماعی مهر رو ۹ میلیون از ملت پرداخت کردیم.</t>
        </is>
      </c>
      <c r="E68" s="2" t="inlineStr"/>
      <c r="F68" s="3" t="inlineStr">
        <is>
          <t>صف حسابدار ← «تحلیل کن»</t>
        </is>
      </c>
      <c r="G68" s="4" t="n"/>
      <c r="H68" s="4" t="n"/>
      <c r="I68" s="4" t="n"/>
      <c r="J68" s="4" t="n"/>
    </row>
    <row r="69">
      <c r="A69" s="2" t="inlineStr">
        <is>
          <t>R068</t>
        </is>
      </c>
      <c r="B69" s="3" t="inlineStr">
        <is>
          <t>ارزش افزوده</t>
        </is>
      </c>
      <c r="C69" s="2" t="inlineStr">
        <is>
          <t>خیلی سخت</t>
        </is>
      </c>
      <c r="D69" s="3" t="inlineStr">
        <is>
          <t>فاکتور خرید از شرکت پخش گلستان زدیم ۴۰ میلیون تومان به‌علاوهٔ ۱۰ درصد ارزش افزوده، پولش هنوز ندادیم.</t>
        </is>
      </c>
      <c r="E69" s="2" t="inlineStr"/>
      <c r="F69" s="3" t="inlineStr">
        <is>
          <t>کارت سؤال، بعد ثبت</t>
        </is>
      </c>
      <c r="G69" s="4" t="n"/>
      <c r="H69" s="4" t="n"/>
      <c r="I69" s="4" t="n"/>
      <c r="J69" s="4" t="n"/>
    </row>
    <row r="70">
      <c r="A70" s="2" t="inlineStr">
        <is>
          <t>R069</t>
        </is>
      </c>
      <c r="B70" s="3" t="inlineStr">
        <is>
          <t>ارزش افزوده</t>
        </is>
      </c>
      <c r="C70" s="2" t="inlineStr">
        <is>
          <t>سخت</t>
        </is>
      </c>
      <c r="D70" s="3" t="inlineStr">
        <is>
          <t>۱۱ میلیون با ارزش افزوده لوازم اداری خریدیم از ملت.</t>
        </is>
      </c>
      <c r="E70" s="2" t="inlineStr"/>
      <c r="F70" s="3" t="inlineStr">
        <is>
          <t>ثبت خودکار یا تأیید ساده</t>
        </is>
      </c>
      <c r="G70" s="4" t="n"/>
      <c r="H70" s="4" t="n"/>
      <c r="I70" s="4" t="n"/>
      <c r="J70" s="4" t="n"/>
    </row>
    <row r="71">
      <c r="A71" s="2" t="inlineStr">
        <is>
          <t>R070</t>
        </is>
      </c>
      <c r="B71" s="3" t="inlineStr">
        <is>
          <t>ارزش افزوده</t>
        </is>
      </c>
      <c r="C71" s="2" t="inlineStr">
        <is>
          <t>سخت</t>
        </is>
      </c>
      <c r="D71" s="3" t="inlineStr">
        <is>
          <t>۵۵ میلیون فروش با ارزش افزوده داشتیم، پولش اومد به ملت.</t>
        </is>
      </c>
      <c r="E71" s="2" t="inlineStr"/>
      <c r="F71" s="3" t="inlineStr">
        <is>
          <t>ثبت خودکار یا تأیید ساده</t>
        </is>
      </c>
      <c r="G71" s="4" t="n"/>
      <c r="H71" s="4" t="n"/>
      <c r="I71" s="4" t="n"/>
      <c r="J71" s="4" t="n"/>
    </row>
    <row r="72">
      <c r="A72" s="2" t="inlineStr">
        <is>
          <t>R071</t>
        </is>
      </c>
      <c r="B72" s="3" t="inlineStr">
        <is>
          <t>ارزش افزوده</t>
        </is>
      </c>
      <c r="C72" s="2" t="inlineStr">
        <is>
          <t>سخت</t>
        </is>
      </c>
      <c r="D72" s="3" t="inlineStr">
        <is>
          <t>۵ میلیون ارزش افزودهٔ فصل رو به سازمان مالیاتی پرداخت کردیم از ملت.</t>
        </is>
      </c>
      <c r="E72" s="2" t="inlineStr">
        <is>
          <t>R070</t>
        </is>
      </c>
      <c r="F72" s="3" t="inlineStr">
        <is>
          <t>ثبت خودکار یا تأیید ساده</t>
        </is>
      </c>
      <c r="G72" s="4" t="n"/>
      <c r="H72" s="4" t="n"/>
      <c r="I72" s="4" t="n"/>
      <c r="J72" s="4" t="n"/>
    </row>
    <row r="73">
      <c r="A73" s="2" t="inlineStr">
        <is>
          <t>R072</t>
        </is>
      </c>
      <c r="B73" s="3" t="inlineStr">
        <is>
          <t>ارزش افزوده</t>
        </is>
      </c>
      <c r="C73" s="2" t="inlineStr">
        <is>
          <t>سخت</t>
        </is>
      </c>
      <c r="D73" s="3" t="inlineStr">
        <is>
          <t>فروش ۳۰ میلیون، ارزش افزوده هم داره، نقد گرفتیم.</t>
        </is>
      </c>
      <c r="E73" s="2" t="inlineStr"/>
      <c r="F73" s="3" t="inlineStr">
        <is>
          <t>کارت سؤال، بعد ثبت</t>
        </is>
      </c>
      <c r="G73" s="4" t="n"/>
      <c r="H73" s="4" t="n"/>
      <c r="I73" s="4" t="n"/>
      <c r="J73" s="4" t="n"/>
    </row>
    <row r="74">
      <c r="A74" s="2" t="inlineStr">
        <is>
          <t>R073</t>
        </is>
      </c>
      <c r="B74" s="3" t="inlineStr">
        <is>
          <t>ارزش افزوده</t>
        </is>
      </c>
      <c r="C74" s="2" t="inlineStr">
        <is>
          <t>سخت</t>
        </is>
      </c>
      <c r="D74" s="3" t="inlineStr">
        <is>
          <t>اظهارنامهٔ ارزش افزوده رو فرستادیم، ۸ میلیون بدهی شد که هنوز پرداخت نکردیم.</t>
        </is>
      </c>
      <c r="E74" s="2" t="inlineStr"/>
      <c r="F74" s="3" t="inlineStr">
        <is>
          <t>صف حسابدار ← «تحلیل کن»</t>
        </is>
      </c>
      <c r="G74" s="4" t="n"/>
      <c r="H74" s="4" t="n"/>
      <c r="I74" s="4" t="n"/>
      <c r="J74" s="4" t="n"/>
    </row>
    <row r="75">
      <c r="A75" s="2" t="inlineStr">
        <is>
          <t>R074</t>
        </is>
      </c>
      <c r="B75" s="3" t="inlineStr">
        <is>
          <t>چک</t>
        </is>
      </c>
      <c r="C75" s="2" t="inlineStr">
        <is>
          <t>سخت</t>
        </is>
      </c>
      <c r="D75" s="3" t="inlineStr">
        <is>
          <t>۲۰ میلیون جنس به شرکت آریا تجارت فروختیم و یه چک به سررسید ۱۵ آذر گرفتیم.</t>
        </is>
      </c>
      <c r="E75" s="2" t="inlineStr"/>
      <c r="F75" s="3" t="inlineStr">
        <is>
          <t>صف حسابدار ← «تحلیل کن»</t>
        </is>
      </c>
      <c r="G75" s="4" t="n"/>
      <c r="H75" s="4" t="n"/>
      <c r="I75" s="4" t="n"/>
      <c r="J75" s="4" t="n"/>
    </row>
    <row r="76">
      <c r="A76" s="2" t="inlineStr">
        <is>
          <t>R075</t>
        </is>
      </c>
      <c r="B76" s="3" t="inlineStr">
        <is>
          <t>چک</t>
        </is>
      </c>
      <c r="C76" s="2" t="inlineStr">
        <is>
          <t>سخت</t>
        </is>
      </c>
      <c r="D76" s="3" t="inlineStr">
        <is>
          <t>یه چک ۱۵ میلیونی به سررسید ۱ دی بابت خرید جنس به پخش گلستان دادیم.</t>
        </is>
      </c>
      <c r="E76" s="2" t="inlineStr"/>
      <c r="F76" s="3" t="inlineStr">
        <is>
          <t>صف حسابدار ← «تحلیل کن»</t>
        </is>
      </c>
      <c r="G76" s="4" t="n"/>
      <c r="H76" s="4" t="n"/>
      <c r="I76" s="4" t="n"/>
      <c r="J76" s="4" t="n"/>
    </row>
    <row r="77">
      <c r="A77" s="2" t="inlineStr">
        <is>
          <t>R076</t>
        </is>
      </c>
      <c r="B77" s="3" t="inlineStr">
        <is>
          <t>چک</t>
        </is>
      </c>
      <c r="C77" s="2" t="inlineStr">
        <is>
          <t>سخت</t>
        </is>
      </c>
      <c r="D77" s="3" t="inlineStr">
        <is>
          <t>یه چک ۸ میلیونی به تعمیرکار دادیم.</t>
        </is>
      </c>
      <c r="E77" s="2" t="inlineStr"/>
      <c r="F77" s="3" t="inlineStr">
        <is>
          <t>صف حسابدار ← «تحلیل کن»</t>
        </is>
      </c>
      <c r="G77" s="4" t="n"/>
      <c r="H77" s="4" t="n"/>
      <c r="I77" s="4" t="n"/>
      <c r="J77" s="4" t="n"/>
    </row>
    <row r="78">
      <c r="A78" s="2" t="inlineStr">
        <is>
          <t>R077</t>
        </is>
      </c>
      <c r="B78" s="3" t="inlineStr">
        <is>
          <t>چک</t>
        </is>
      </c>
      <c r="C78" s="2" t="inlineStr">
        <is>
          <t>خیلی سخت</t>
        </is>
      </c>
      <c r="D78" s="3" t="inlineStr">
        <is>
          <t>چک ۲۰ میلیونی آریا تجارت برگشت خورد.</t>
        </is>
      </c>
      <c r="E78" s="2" t="inlineStr">
        <is>
          <t>R074</t>
        </is>
      </c>
      <c r="F78" s="3" t="inlineStr">
        <is>
          <t>امتناع درست — شکاف شناخته‌شدهٔ سیستم</t>
        </is>
      </c>
      <c r="G78" s="4" t="n"/>
      <c r="H78" s="4" t="n"/>
      <c r="I78" s="4" t="n"/>
      <c r="J78" s="4" t="n"/>
    </row>
    <row r="79">
      <c r="A79" s="2" t="inlineStr">
        <is>
          <t>R078</t>
        </is>
      </c>
      <c r="B79" s="3" t="inlineStr">
        <is>
          <t>وام</t>
        </is>
      </c>
      <c r="C79" s="2" t="inlineStr">
        <is>
          <t>متوسط</t>
        </is>
      </c>
      <c r="D79" s="3" t="inlineStr">
        <is>
          <t>۲۰۰ میلیون وام از بانک ملت گرفتیم، ریخت به حساب ملت.</t>
        </is>
      </c>
      <c r="E79" s="2" t="inlineStr"/>
      <c r="F79" s="3" t="inlineStr">
        <is>
          <t>صف حسابدار ← «تحلیل کن»</t>
        </is>
      </c>
      <c r="G79" s="4" t="n"/>
      <c r="H79" s="4" t="n"/>
      <c r="I79" s="4" t="n"/>
      <c r="J79" s="4" t="n"/>
    </row>
    <row r="80">
      <c r="A80" s="2" t="inlineStr">
        <is>
          <t>R079</t>
        </is>
      </c>
      <c r="B80" s="3" t="inlineStr">
        <is>
          <t>وام</t>
        </is>
      </c>
      <c r="C80" s="2" t="inlineStr">
        <is>
          <t>خیلی سخت</t>
        </is>
      </c>
      <c r="D80" s="3" t="inlineStr">
        <is>
          <t>قسط وام بانک ملت ۱۲ میلیون تومان پرداخت شد که ۹ میلیونش اصل و ۳ میلیونش سود بود.</t>
        </is>
      </c>
      <c r="E80" s="2" t="inlineStr">
        <is>
          <t>R078</t>
        </is>
      </c>
      <c r="F80" s="3" t="inlineStr">
        <is>
          <t>امتناع درست — شکاف شناخته‌شدهٔ سیستم</t>
        </is>
      </c>
      <c r="G80" s="4" t="n"/>
      <c r="H80" s="4" t="n"/>
      <c r="I80" s="4" t="n"/>
      <c r="J80" s="4" t="n"/>
    </row>
    <row r="81">
      <c r="A81" s="2" t="inlineStr">
        <is>
          <t>R080</t>
        </is>
      </c>
      <c r="B81" s="3" t="inlineStr">
        <is>
          <t>وام</t>
        </is>
      </c>
      <c r="C81" s="2" t="inlineStr">
        <is>
          <t>متوسط</t>
        </is>
      </c>
      <c r="D81" s="3" t="inlineStr">
        <is>
          <t>۹ میلیون اصل وام ملت رو پرداخت کردیم.</t>
        </is>
      </c>
      <c r="E81" s="2" t="inlineStr">
        <is>
          <t>R078</t>
        </is>
      </c>
      <c r="F81" s="3" t="inlineStr">
        <is>
          <t>صف حسابدار ← «تحلیل کن»</t>
        </is>
      </c>
      <c r="G81" s="4" t="n"/>
      <c r="H81" s="4" t="n"/>
      <c r="I81" s="4" t="n"/>
      <c r="J81" s="4" t="n"/>
    </row>
    <row r="82">
      <c r="A82" s="2" t="inlineStr">
        <is>
          <t>R081</t>
        </is>
      </c>
      <c r="B82" s="3" t="inlineStr">
        <is>
          <t>برگشت</t>
        </is>
      </c>
      <c r="C82" s="2" t="inlineStr">
        <is>
          <t>خیلی سخت</t>
        </is>
      </c>
      <c r="D82" s="3" t="inlineStr">
        <is>
          <t>مشتری ۴ میلیون تومان از کالای نقدی که دیروز خریده بود رو برگروند و پولش رو از صندوق پس دادیم.</t>
        </is>
      </c>
      <c r="E82" s="2" t="inlineStr"/>
      <c r="F82" s="3" t="inlineStr">
        <is>
          <t>امتناع درست — شکاف شناخته‌شدهٔ سیستم</t>
        </is>
      </c>
      <c r="G82" s="4" t="n"/>
      <c r="H82" s="4" t="n"/>
      <c r="I82" s="4" t="n"/>
      <c r="J82" s="4" t="n"/>
    </row>
    <row r="83">
      <c r="A83" s="2" t="inlineStr">
        <is>
          <t>R082</t>
        </is>
      </c>
      <c r="B83" s="3" t="inlineStr">
        <is>
          <t>برگشت</t>
        </is>
      </c>
      <c r="C83" s="2" t="inlineStr">
        <is>
          <t>خیلی سخت</t>
        </is>
      </c>
      <c r="D83" s="3" t="inlineStr">
        <is>
          <t>۵ میلیون تومان از پول اجناسی که هفتهٔ پیش نقد از بازار خریده بودیم پس داده شد و رفت تو صندوق.</t>
        </is>
      </c>
      <c r="E83" s="2" t="inlineStr"/>
      <c r="F83" s="3" t="inlineStr">
        <is>
          <t>امتناع درست — شکاف شناخته‌شدهٔ سیستم</t>
        </is>
      </c>
      <c r="G83" s="4" t="n"/>
      <c r="H83" s="4" t="n"/>
      <c r="I83" s="4" t="n"/>
      <c r="J83" s="4" t="n"/>
    </row>
    <row r="84">
      <c r="A84" s="2" t="inlineStr">
        <is>
          <t>R083</t>
        </is>
      </c>
      <c r="B84" s="3" t="inlineStr">
        <is>
          <t>برگشت</t>
        </is>
      </c>
      <c r="C84" s="2" t="inlineStr">
        <is>
          <t>خیلی سخت</t>
        </is>
      </c>
      <c r="D84" s="3" t="inlineStr">
        <is>
          <t>۳ میلیون باقی‌ماندهٔ جنس‌های پخش گلستان خراب بود، برگردوندیم؛ از بدهیمون کم کردن.</t>
        </is>
      </c>
      <c r="E84" s="2" t="inlineStr">
        <is>
          <t>R034</t>
        </is>
      </c>
      <c r="F84" s="3" t="inlineStr">
        <is>
          <t>صف حسابدار ← «تحلیل کن»</t>
        </is>
      </c>
      <c r="G84" s="4" t="n"/>
      <c r="H84" s="4" t="n"/>
      <c r="I84" s="4" t="n"/>
      <c r="J84" s="4" t="n"/>
    </row>
    <row r="85">
      <c r="A85" s="2" t="inlineStr">
        <is>
          <t>R084</t>
        </is>
      </c>
      <c r="B85" s="3" t="inlineStr">
        <is>
          <t>برگشت</t>
        </is>
      </c>
      <c r="C85" s="2" t="inlineStr">
        <is>
          <t>خیلی سخت</t>
        </is>
      </c>
      <c r="D85" s="3" t="inlineStr">
        <is>
          <t>پخش گلستان ۲ میلیون اضافه‌ای که پارسال بهشون داده بودیم رو پس داد، به ملت.</t>
        </is>
      </c>
      <c r="E85" s="2" t="inlineStr"/>
      <c r="F85" s="3" t="inlineStr">
        <is>
          <t>صف حسابدار ← «تحلیل کن»</t>
        </is>
      </c>
      <c r="G85" s="4" t="n"/>
      <c r="H85" s="4" t="n"/>
      <c r="I85" s="4" t="n"/>
      <c r="J85" s="4" t="n"/>
    </row>
    <row r="86">
      <c r="A86" s="2" t="inlineStr">
        <is>
          <t>R085</t>
        </is>
      </c>
      <c r="B86" s="3" t="inlineStr">
        <is>
          <t>برگشت</t>
        </is>
      </c>
      <c r="C86" s="2" t="inlineStr">
        <is>
          <t>سخت</t>
        </is>
      </c>
      <c r="D86" s="3" t="inlineStr">
        <is>
          <t>مشتری ۳ میلیون بیعانه برای سفارش داده بود و امروز چون منصرف شد بهش پس دادیم از صندوق.</t>
        </is>
      </c>
      <c r="E86" s="2" t="inlineStr"/>
      <c r="F86" s="3" t="inlineStr">
        <is>
          <t>صف حسابدار ← «تحلیل کن»</t>
        </is>
      </c>
      <c r="G86" s="4" t="n"/>
      <c r="H86" s="4" t="n"/>
      <c r="I86" s="4" t="n"/>
      <c r="J86" s="4" t="n"/>
    </row>
    <row r="87">
      <c r="A87" s="2" t="inlineStr">
        <is>
          <t>R086</t>
        </is>
      </c>
      <c r="B87" s="3" t="inlineStr">
        <is>
          <t>انتقال داخلی و تنخواه</t>
        </is>
      </c>
      <c r="C87" s="2" t="inlineStr">
        <is>
          <t>متوسط</t>
        </is>
      </c>
      <c r="D87" s="3" t="inlineStr">
        <is>
          <t>۲۰ میلیون از حساب ملت برداشت کردیم گذاشتیم تو صندوق.</t>
        </is>
      </c>
      <c r="E87" s="2" t="inlineStr"/>
      <c r="F87" s="3" t="inlineStr">
        <is>
          <t>ثبت خودکار یا تأیید ساده</t>
        </is>
      </c>
      <c r="G87" s="4" t="n"/>
      <c r="H87" s="4" t="n"/>
      <c r="I87" s="4" t="n"/>
      <c r="J87" s="4" t="n"/>
    </row>
    <row r="88">
      <c r="A88" s="2" t="inlineStr">
        <is>
          <t>R087</t>
        </is>
      </c>
      <c r="B88" s="3" t="inlineStr">
        <is>
          <t>انتقال داخلی و تنخواه</t>
        </is>
      </c>
      <c r="C88" s="2" t="inlineStr">
        <is>
          <t>متوسط</t>
        </is>
      </c>
      <c r="D88" s="3" t="inlineStr">
        <is>
          <t>۵۰ میلیون از ملت به حساب تجارت منتقل کردیم.</t>
        </is>
      </c>
      <c r="E88" s="2" t="inlineStr"/>
      <c r="F88" s="3" t="inlineStr">
        <is>
          <t>ثبت خودکار یا تأیید ساده</t>
        </is>
      </c>
      <c r="G88" s="4" t="n"/>
      <c r="H88" s="4" t="n"/>
      <c r="I88" s="4" t="n"/>
      <c r="J88" s="4" t="n"/>
    </row>
    <row r="89">
      <c r="A89" s="2" t="inlineStr">
        <is>
          <t>R088</t>
        </is>
      </c>
      <c r="B89" s="3" t="inlineStr">
        <is>
          <t>انتقال داخلی و تنخواه</t>
        </is>
      </c>
      <c r="C89" s="2" t="inlineStr">
        <is>
          <t>متوسط</t>
        </is>
      </c>
      <c r="D89" s="3" t="inlineStr">
        <is>
          <t>تنخواه رضا احمدی رو ۱۰ میلیون از ملت شارژ کردیم.</t>
        </is>
      </c>
      <c r="E89" s="2" t="inlineStr"/>
      <c r="F89" s="3" t="inlineStr">
        <is>
          <t>ثبت خودکار یا تأیید ساده</t>
        </is>
      </c>
      <c r="G89" s="4" t="n"/>
      <c r="H89" s="4" t="n"/>
      <c r="I89" s="4" t="n"/>
      <c r="J89" s="4" t="n"/>
    </row>
    <row r="90">
      <c r="A90" s="2" t="inlineStr">
        <is>
          <t>R089</t>
        </is>
      </c>
      <c r="B90" s="3" t="inlineStr">
        <is>
          <t>ابهام و چندمبلغی</t>
        </is>
      </c>
      <c r="C90" s="2" t="inlineStr">
        <is>
          <t>سخت</t>
        </is>
      </c>
      <c r="D90" s="3" t="inlineStr">
        <is>
          <t>یه واریزی ۷ میلیونی اومده به حساب تجارت، نمی‌دونم از کیه.</t>
        </is>
      </c>
      <c r="E90" s="2" t="inlineStr"/>
      <c r="F90" s="3" t="inlineStr">
        <is>
          <t>صف حسابدار ← «تحلیل کن»</t>
        </is>
      </c>
      <c r="G90" s="4" t="n"/>
      <c r="H90" s="4" t="n"/>
      <c r="I90" s="4" t="n"/>
      <c r="J90" s="4" t="n"/>
    </row>
    <row r="91">
      <c r="A91" s="2" t="inlineStr">
        <is>
          <t>R090</t>
        </is>
      </c>
      <c r="B91" s="3" t="inlineStr">
        <is>
          <t>ابهام و چندمبلغی</t>
        </is>
      </c>
      <c r="C91" s="2" t="inlineStr">
        <is>
          <t>سخت</t>
        </is>
      </c>
      <c r="D91" s="3" t="inlineStr">
        <is>
          <t>پنج میلیون جابه‌جا شد.</t>
        </is>
      </c>
      <c r="E91" s="2" t="inlineStr"/>
      <c r="F91" s="3" t="inlineStr">
        <is>
          <t>صف حسابدار ← «تحلیل کن»</t>
        </is>
      </c>
      <c r="G91" s="4" t="n"/>
      <c r="H91" s="4" t="n"/>
      <c r="I91" s="4" t="n"/>
      <c r="J91" s="4" t="n"/>
    </row>
    <row r="92">
      <c r="A92" s="2" t="inlineStr">
        <is>
          <t>R091</t>
        </is>
      </c>
      <c r="B92" s="3" t="inlineStr">
        <is>
          <t>ابهام و چندمبلغی</t>
        </is>
      </c>
      <c r="C92" s="2" t="inlineStr">
        <is>
          <t>متوسط</t>
        </is>
      </c>
      <c r="D92" s="3" t="inlineStr">
        <is>
          <t>یه چیزی خریدیم برای دفتر، مبلغش یادم نیست.</t>
        </is>
      </c>
      <c r="E92" s="2" t="inlineStr"/>
      <c r="F92" s="3" t="inlineStr">
        <is>
          <t>صف حسابدار ← «تحلیل کن»</t>
        </is>
      </c>
      <c r="G92" s="4" t="n"/>
      <c r="H92" s="4" t="n"/>
      <c r="I92" s="4" t="n"/>
      <c r="J92" s="4" t="n"/>
    </row>
    <row r="93">
      <c r="A93" s="2" t="inlineStr">
        <is>
          <t>R092</t>
        </is>
      </c>
      <c r="B93" s="3" t="inlineStr">
        <is>
          <t>ابهام و چندمبلغی</t>
        </is>
      </c>
      <c r="C93" s="2" t="inlineStr">
        <is>
          <t>سخت</t>
        </is>
      </c>
      <c r="D93" s="3" t="inlineStr">
        <is>
          <t>امروز سه تا خرج داشتیم: ۴۰۰ هزار تاکسی، ۲ میلیون ناهار جلسه و ۸۰۰ هزار کاغذ؛ همه از صندوق.</t>
        </is>
      </c>
      <c r="E93" s="2" t="inlineStr"/>
      <c r="F93" s="3" t="inlineStr">
        <is>
          <t>ثبت خودکار یا تأیید ساده</t>
        </is>
      </c>
      <c r="G93" s="4" t="n"/>
      <c r="H93" s="4" t="n"/>
      <c r="I93" s="4" t="n"/>
      <c r="J93" s="4" t="n"/>
    </row>
    <row r="94">
      <c r="A94" s="2" t="inlineStr">
        <is>
          <t>R093</t>
        </is>
      </c>
      <c r="B94" s="3" t="inlineStr">
        <is>
          <t>ابهام و چندمبلغی</t>
        </is>
      </c>
      <c r="C94" s="2" t="inlineStr">
        <is>
          <t>سخت</t>
        </is>
      </c>
      <c r="D94" s="3" t="inlineStr">
        <is>
          <t>اجاره ۱۵ میلیون بود ولی نه ببخشید ۱۲ میلیون، دادیم از ملت.</t>
        </is>
      </c>
      <c r="E94" s="2" t="inlineStr"/>
      <c r="F94" s="3" t="inlineStr">
        <is>
          <t>ثبت خودکار یا تأیید ساده</t>
        </is>
      </c>
      <c r="G94" s="4" t="n"/>
      <c r="H94" s="4" t="n"/>
      <c r="I94" s="4" t="n"/>
      <c r="J94" s="4" t="n"/>
    </row>
    <row r="95">
      <c r="A95" s="2" t="inlineStr">
        <is>
          <t>R094</t>
        </is>
      </c>
      <c r="B95" s="3" t="inlineStr">
        <is>
          <t>ابهام و چندمبلغی</t>
        </is>
      </c>
      <c r="C95" s="2" t="inlineStr">
        <is>
          <t>خیلی سخت</t>
        </is>
      </c>
      <c r="D95" s="3" t="inlineStr">
        <is>
          <t>کل خرید امروز ۱۰ میلیون شد که ۶ میلیونش جنس بود و ۴ میلیونش کرایهٔ حمل، از ملت.</t>
        </is>
      </c>
      <c r="E95" s="2" t="inlineStr"/>
      <c r="F95" s="3" t="inlineStr">
        <is>
          <t>صف حسابدار ← «تحلیل کن»</t>
        </is>
      </c>
      <c r="G95" s="4" t="n"/>
      <c r="H95" s="4" t="n"/>
      <c r="I95" s="4" t="n"/>
      <c r="J95" s="4" t="n"/>
    </row>
    <row r="96">
      <c r="A96" s="2" t="inlineStr">
        <is>
          <t>R095</t>
        </is>
      </c>
      <c r="B96" s="3" t="inlineStr">
        <is>
          <t>نباید ثبت شود</t>
        </is>
      </c>
      <c r="C96" s="2" t="inlineStr">
        <is>
          <t>متوسط</t>
        </is>
      </c>
      <c r="D96" s="3" t="inlineStr">
        <is>
          <t>فردا قراره ۱۰ میلیون اجاره بدیم.</t>
        </is>
      </c>
      <c r="E96" s="2" t="inlineStr"/>
      <c r="F96" s="3" t="inlineStr">
        <is>
          <t>نباید هیچ سندی ثبت شود</t>
        </is>
      </c>
      <c r="G96" s="4" t="n"/>
      <c r="H96" s="4" t="n"/>
      <c r="I96" s="4" t="n"/>
      <c r="J96" s="4" t="n"/>
    </row>
    <row r="97">
      <c r="A97" s="2" t="inlineStr">
        <is>
          <t>R096</t>
        </is>
      </c>
      <c r="B97" s="3" t="inlineStr">
        <is>
          <t>نباید ثبت شود</t>
        </is>
      </c>
      <c r="C97" s="2" t="inlineStr">
        <is>
          <t>متوسط</t>
        </is>
      </c>
      <c r="D97" s="3" t="inlineStr">
        <is>
          <t>یه پیش‌فاکتور ۳۰ میلیونی برای مشتری فرستادیم.</t>
        </is>
      </c>
      <c r="E97" s="2" t="inlineStr"/>
      <c r="F97" s="3" t="inlineStr">
        <is>
          <t>نباید هیچ سندی ثبت شود</t>
        </is>
      </c>
      <c r="G97" s="4" t="n"/>
      <c r="H97" s="4" t="n"/>
      <c r="I97" s="4" t="n"/>
      <c r="J97" s="4" t="n"/>
    </row>
    <row r="98">
      <c r="A98" s="2" t="inlineStr">
        <is>
          <t>R097</t>
        </is>
      </c>
      <c r="B98" s="3" t="inlineStr">
        <is>
          <t>نباید ثبت شود</t>
        </is>
      </c>
      <c r="C98" s="2" t="inlineStr">
        <is>
          <t>متوسط</t>
        </is>
      </c>
      <c r="D98" s="3" t="inlineStr">
        <is>
          <t>ماه پیش کلاً حدود ۲۰ میلیون خرج داشتیم.</t>
        </is>
      </c>
      <c r="E98" s="2" t="inlineStr"/>
      <c r="F98" s="3" t="inlineStr">
        <is>
          <t>نباید هیچ سندی ثبت شود</t>
        </is>
      </c>
      <c r="G98" s="4" t="n"/>
      <c r="H98" s="4" t="n"/>
      <c r="I98" s="4" t="n"/>
      <c r="J98" s="4" t="n"/>
    </row>
    <row r="99">
      <c r="A99" s="2" t="inlineStr">
        <is>
          <t>R098</t>
        </is>
      </c>
      <c r="B99" s="3" t="inlineStr">
        <is>
          <t>نباید ثبت شود</t>
        </is>
      </c>
      <c r="C99" s="2" t="inlineStr">
        <is>
          <t>سخت</t>
        </is>
      </c>
      <c r="D99" s="3" t="inlineStr">
        <is>
          <t>سفارش آقای کاظمی رو فردا تحویلش میدیم.</t>
        </is>
      </c>
      <c r="E99" s="2" t="inlineStr"/>
      <c r="F99" s="3" t="inlineStr">
        <is>
          <t>نباید هیچ سندی ثبت شود</t>
        </is>
      </c>
      <c r="G99" s="4" t="n"/>
      <c r="H99" s="4" t="n"/>
      <c r="I99" s="4" t="n"/>
      <c r="J99" s="4" t="n"/>
    </row>
    <row r="100">
      <c r="A100" s="2" t="inlineStr">
        <is>
          <t>R099</t>
        </is>
      </c>
      <c r="B100" s="3" t="inlineStr">
        <is>
          <t>نباید ثبت شود</t>
        </is>
      </c>
      <c r="C100" s="2" t="inlineStr">
        <is>
          <t>سخت</t>
        </is>
      </c>
      <c r="D100" s="3" t="inlineStr">
        <is>
          <t>اگه مشتری تا آخر هفته پول بده، ۲ میلیون تخفیف می‌دیم.</t>
        </is>
      </c>
      <c r="E100" s="2" t="inlineStr"/>
      <c r="F100" s="3" t="inlineStr">
        <is>
          <t>نباید هیچ سندی ثبت شود</t>
        </is>
      </c>
      <c r="G100" s="4" t="n"/>
      <c r="H100" s="4" t="n"/>
      <c r="I100" s="4" t="n"/>
      <c r="J100" s="4" t="n"/>
    </row>
    <row r="101">
      <c r="A101" s="2" t="inlineStr">
        <is>
          <t>R100</t>
        </is>
      </c>
      <c r="B101" s="3" t="inlineStr">
        <is>
          <t>نباید ثبت شود</t>
        </is>
      </c>
      <c r="C101" s="2" t="inlineStr">
        <is>
          <t>آسان</t>
        </is>
      </c>
      <c r="D101" s="3" t="inlineStr">
        <is>
          <t>موجودی حساب ملت الان چقدره؟</t>
        </is>
      </c>
      <c r="E101" s="2" t="inlineStr"/>
      <c r="F101" s="3" t="inlineStr">
        <is>
          <t>نباید هیچ سندی ثبت شود</t>
        </is>
      </c>
      <c r="G101" s="4" t="n"/>
      <c r="H101" s="4" t="n"/>
      <c r="I101" s="4" t="n"/>
      <c r="J101" s="4" t="n"/>
    </row>
  </sheetData>
  <dataValidations count="2">
    <dataValidation sqref="H2:H101" showDropDown="0" showInputMessage="0" showErrorMessage="0" allowBlank="1" type="list">
      <formula1>"درست,درست با سؤال‌های درست,امتناع درست,غلط"</formula1>
    </dataValidation>
    <dataValidation sqref="I2:I101" showDropDown="0" showInputMessage="0" showErrorMessage="0" allowBlank="1" type="list">
      <formula1>"بله,خیر"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24" customWidth="1" min="4" max="4"/>
    <col width="40" customWidth="1" min="5" max="5"/>
    <col width="40" customWidth="1" min="6" max="6"/>
    <col width="16" customWidth="1" min="7" max="7"/>
    <col width="34" customWidth="1" min="8" max="8"/>
    <col width="30" customWidth="1" min="9" max="9"/>
    <col width="44" customWidth="1" min="10" max="10"/>
    <col width="40" customWidth="1" min="11" max="11"/>
  </cols>
  <sheetData>
    <row r="1" ht="34" customHeight="1">
      <c r="A1" s="1" t="inlineStr">
        <is>
          <t>کد</t>
        </is>
      </c>
      <c r="B1" s="1" t="inlineStr">
        <is>
          <t>گروه</t>
        </is>
      </c>
      <c r="C1" s="1" t="inlineStr">
        <is>
          <t>متن تراکنش</t>
        </is>
      </c>
      <c r="D1" s="1" t="inlineStr">
        <is>
          <t>مسیر مورد انتظار</t>
        </is>
      </c>
      <c r="E1" s="1" t="inlineStr">
        <is>
          <t>بدهکار</t>
        </is>
      </c>
      <c r="F1" s="1" t="inlineStr">
        <is>
          <t>بستانکار</t>
        </is>
      </c>
      <c r="G1" s="1" t="inlineStr">
        <is>
          <t>مبلغ سند (تومان)</t>
        </is>
      </c>
      <c r="H1" s="1" t="inlineStr">
        <is>
          <t>سؤال‌های مورد انتظار</t>
        </is>
      </c>
      <c r="I1" s="1" t="inlineStr">
        <is>
          <t>جواب‌هایی که بده</t>
        </is>
      </c>
      <c r="J1" s="1" t="inlineStr">
        <is>
          <t>توضیح ثبت درست</t>
        </is>
      </c>
      <c r="K1" s="1" t="inlineStr">
        <is>
          <t>تله / چرا سخت است</t>
        </is>
      </c>
    </row>
    <row r="2">
      <c r="A2" s="2" t="inlineStr">
        <is>
          <t>R001</t>
        </is>
      </c>
      <c r="B2" s="3" t="inlineStr">
        <is>
          <t>روزانه</t>
        </is>
      </c>
      <c r="C2" s="3" t="inlineStr">
        <is>
          <t>امروز هشت میلیون و پانصد هزار تومان فروش نقدی داشتیم، پولش تو صندوقه.</t>
        </is>
      </c>
      <c r="D2" s="3" t="inlineStr">
        <is>
          <t>ثبت خودکار یا تأیید ساده</t>
        </is>
      </c>
      <c r="E2" s="3" t="inlineStr">
        <is>
          <t>صندوق — ۸٬۵۰۰٬۰۰۰</t>
        </is>
      </c>
      <c r="F2" s="3" t="inlineStr">
        <is>
          <t>فروش — ۸٬۵۰۰٬۰۰۰</t>
        </is>
      </c>
      <c r="G2" s="5" t="n">
        <v>8500000</v>
      </c>
      <c r="H2" s="3" t="inlineStr"/>
      <c r="I2" s="3" t="inlineStr"/>
      <c r="J2" s="3" t="inlineStr"/>
      <c r="K2" s="3" t="inlineStr">
        <is>
          <t>عدد با حروف</t>
        </is>
      </c>
    </row>
    <row r="3">
      <c r="A3" s="2" t="inlineStr">
        <is>
          <t>R002</t>
        </is>
      </c>
      <c r="B3" s="3" t="inlineStr">
        <is>
          <t>روزانه</t>
        </is>
      </c>
      <c r="C3" s="3" t="inlineStr">
        <is>
          <t>بابت نصب و راه‌اندازی دستگاه برای شرکت آریا تجارت دو میلیون و ششصد هزار تومان به حساب ملت واریز شد.</t>
        </is>
      </c>
      <c r="D3" s="3" t="inlineStr">
        <is>
          <t>ثبت خودکار یا تأیید ساده</t>
        </is>
      </c>
      <c r="E3" s="3" t="inlineStr">
        <is>
          <t>جاری ملت — ۲٬۶۰۰٬۰۰۰</t>
        </is>
      </c>
      <c r="F3" s="3" t="inlineStr">
        <is>
          <t>خدمات — ۲٬۶۰۰٬۰۰۰</t>
        </is>
      </c>
      <c r="G3" s="5" t="n">
        <v>2600000</v>
      </c>
      <c r="H3" s="3" t="inlineStr"/>
      <c r="I3" s="3" t="inlineStr"/>
      <c r="J3" s="3" t="inlineStr">
        <is>
          <t>طرف‌حساب: شرکت آریا تجارت.</t>
        </is>
      </c>
      <c r="K3" s="3" t="inlineStr">
        <is>
          <t>درآمد خدمات، نه فروش کالا</t>
        </is>
      </c>
    </row>
    <row r="4">
      <c r="A4" s="2" t="inlineStr">
        <is>
          <t>R003</t>
        </is>
      </c>
      <c r="B4" s="3" t="inlineStr">
        <is>
          <t>روزانه</t>
        </is>
      </c>
      <c r="C4" s="3" t="inlineStr">
        <is>
          <t>قبض برق مغازه یک میلیون و دویست هزار تومن از ملت پرداخت شد.</t>
        </is>
      </c>
      <c r="D4" s="3" t="inlineStr">
        <is>
          <t>ثبت خودکار یا تأیید ساده</t>
        </is>
      </c>
      <c r="E4" s="3" t="inlineStr">
        <is>
          <t>قبوض — ۱٬۲۰۰٬۰۰۰</t>
        </is>
      </c>
      <c r="F4" s="3" t="inlineStr">
        <is>
          <t>جاری ملت — ۱٬۲۰۰٬۰۰۰</t>
        </is>
      </c>
      <c r="G4" s="5" t="n">
        <v>1200000</v>
      </c>
      <c r="H4" s="3" t="inlineStr"/>
      <c r="I4" s="3" t="inlineStr"/>
      <c r="J4" s="3" t="inlineStr"/>
      <c r="K4" s="3" t="inlineStr"/>
    </row>
    <row r="5">
      <c r="A5" s="2" t="inlineStr">
        <is>
          <t>R004</t>
        </is>
      </c>
      <c r="B5" s="3" t="inlineStr">
        <is>
          <t>روزانه</t>
        </is>
      </c>
      <c r="C5" s="3" t="inlineStr">
        <is>
          <t>برای تبلیغات اینستاگرام چهار میلیون از ملت دادیم.</t>
        </is>
      </c>
      <c r="D5" s="3" t="inlineStr">
        <is>
          <t>ثبت خودکار یا تأیید ساده</t>
        </is>
      </c>
      <c r="E5" s="3" t="inlineStr">
        <is>
          <t>تبلیغات و بازاریابی — ۴٬۰۰۰٬۰۰۰</t>
        </is>
      </c>
      <c r="F5" s="3" t="inlineStr">
        <is>
          <t>جاری ملت — ۴٬۰۰۰٬۰۰۰</t>
        </is>
      </c>
      <c r="G5" s="5" t="n">
        <v>4000000</v>
      </c>
      <c r="H5" s="3" t="inlineStr"/>
      <c r="I5" s="3" t="inlineStr"/>
      <c r="J5" s="3" t="inlineStr"/>
      <c r="K5" s="3" t="inlineStr"/>
    </row>
    <row r="6">
      <c r="A6" s="2" t="inlineStr">
        <is>
          <t>R005</t>
        </is>
      </c>
      <c r="B6" s="3" t="inlineStr">
        <is>
          <t>روزانه</t>
        </is>
      </c>
      <c r="C6" s="3" t="inlineStr">
        <is>
          <t>۳۵۰ هزار تومن ناهار بچه‌ها رو از صندوق دادیم.</t>
        </is>
      </c>
      <c r="D6" s="3" t="inlineStr">
        <is>
          <t>ثبت خودکار یا تأیید ساده</t>
        </is>
      </c>
      <c r="E6" s="3" t="inlineStr">
        <is>
          <t>خوراک — ۳۵۰٬۰۰۰</t>
        </is>
      </c>
      <c r="F6" s="3" t="inlineStr">
        <is>
          <t>صندوق — ۳۵۰٬۰۰۰</t>
        </is>
      </c>
      <c r="G6" s="5" t="n">
        <v>350000</v>
      </c>
      <c r="H6" s="3" t="inlineStr"/>
      <c r="I6" s="3" t="inlineStr"/>
      <c r="J6" s="3" t="inlineStr"/>
      <c r="K6" s="3" t="inlineStr"/>
    </row>
    <row r="7">
      <c r="A7" s="2" t="inlineStr">
        <is>
          <t>R006</t>
        </is>
      </c>
      <c r="B7" s="3" t="inlineStr">
        <is>
          <t>روزانه</t>
        </is>
      </c>
      <c r="C7" s="3" t="inlineStr">
        <is>
          <t>کرایهٔ باربری ارسال سفارش به کرج ۸۰۰ هزار تومن نقد دادیم.</t>
        </is>
      </c>
      <c r="D7" s="3" t="inlineStr">
        <is>
          <t>ثبت خودکار یا تأیید ساده</t>
        </is>
      </c>
      <c r="E7" s="3" t="inlineStr">
        <is>
          <t>حمل‌ونقل — ۸۰۰٬۰۰۰</t>
        </is>
      </c>
      <c r="F7" s="3" t="inlineStr">
        <is>
          <t>صندوق — ۸۰۰٬۰۰۰</t>
        </is>
      </c>
      <c r="G7" s="5" t="n">
        <v>800000</v>
      </c>
      <c r="H7" s="3" t="inlineStr"/>
      <c r="I7" s="3" t="inlineStr"/>
      <c r="J7" s="3" t="inlineStr"/>
      <c r="K7" s="3" t="inlineStr"/>
    </row>
    <row r="8">
      <c r="A8" s="2" t="inlineStr">
        <is>
          <t>R007</t>
        </is>
      </c>
      <c r="B8" s="3" t="inlineStr">
        <is>
          <t>روزانه</t>
        </is>
      </c>
      <c r="C8" s="3" t="inlineStr">
        <is>
          <t>بنزین ماشین شرکت ۶۰۰ هزار تومن، کارت به کارت از تجارت.</t>
        </is>
      </c>
      <c r="D8" s="3" t="inlineStr">
        <is>
          <t>ثبت خودکار یا تأیید ساده</t>
        </is>
      </c>
      <c r="E8" s="3" t="inlineStr">
        <is>
          <t>سوخت و ایاب‌وذهاب — ۶۰۰٬۰۰۰</t>
        </is>
      </c>
      <c r="F8" s="3" t="inlineStr">
        <is>
          <t>جاری تجارت — ۶۰۰٬۰۰۰</t>
        </is>
      </c>
      <c r="G8" s="5" t="n">
        <v>600000</v>
      </c>
      <c r="H8" s="3" t="inlineStr"/>
      <c r="I8" s="3" t="inlineStr"/>
      <c r="J8" s="3" t="inlineStr"/>
      <c r="K8" s="3" t="inlineStr"/>
    </row>
    <row r="9">
      <c r="A9" s="2" t="inlineStr">
        <is>
          <t>R008</t>
        </is>
      </c>
      <c r="B9" s="3" t="inlineStr">
        <is>
          <t>روزانه</t>
        </is>
      </c>
      <c r="C9" s="3" t="inlineStr">
        <is>
          <t>اشتراک ماهانهٔ نرم‌افزار CRM یک میلیون و دویست از ملت کم شد.</t>
        </is>
      </c>
      <c r="D9" s="3" t="inlineStr">
        <is>
          <t>ثبت خودکار یا تأیید ساده</t>
        </is>
      </c>
      <c r="E9" s="3" t="inlineStr">
        <is>
          <t>نرم‌افزار و اشتراک — ۱٬۲۰۰٬۰۰۰</t>
        </is>
      </c>
      <c r="F9" s="3" t="inlineStr">
        <is>
          <t>جاری ملت — ۱٬۲۰۰٬۰۰۰</t>
        </is>
      </c>
      <c r="G9" s="5" t="n">
        <v>1200000</v>
      </c>
      <c r="H9" s="3" t="inlineStr"/>
      <c r="I9" s="3" t="inlineStr"/>
      <c r="J9" s="3" t="inlineStr"/>
      <c r="K9" s="3" t="inlineStr">
        <is>
          <t>اشتراک یک‌ماهه هزینهٔ همین ماه است، نه پیش‌پرداخت</t>
        </is>
      </c>
    </row>
    <row r="10">
      <c r="A10" s="2" t="inlineStr">
        <is>
          <t>R009</t>
        </is>
      </c>
      <c r="B10" s="3" t="inlineStr">
        <is>
          <t>روزانه</t>
        </is>
      </c>
      <c r="C10" s="3" t="inlineStr">
        <is>
          <t>کارمزد انتقال پایا ۱۲ هزار تومن از حساب ملت کسر شد.</t>
        </is>
      </c>
      <c r="D10" s="3" t="inlineStr">
        <is>
          <t>ثبت خودکار یا تأیید ساده</t>
        </is>
      </c>
      <c r="E10" s="3" t="inlineStr">
        <is>
          <t>کارمزد بانکی — ۱۲٬۰۰۰</t>
        </is>
      </c>
      <c r="F10" s="3" t="inlineStr">
        <is>
          <t>جاری ملت — ۱۲٬۰۰۰</t>
        </is>
      </c>
      <c r="G10" s="5" t="n">
        <v>12000</v>
      </c>
      <c r="H10" s="3" t="inlineStr"/>
      <c r="I10" s="3" t="inlineStr"/>
      <c r="J10" s="3" t="inlineStr"/>
      <c r="K10" s="3" t="inlineStr"/>
    </row>
    <row r="11">
      <c r="A11" s="2" t="inlineStr">
        <is>
          <t>R010</t>
        </is>
      </c>
      <c r="B11" s="3" t="inlineStr">
        <is>
          <t>روزانه</t>
        </is>
      </c>
      <c r="C11" s="3" t="inlineStr">
        <is>
          <t>بانک ملت یک میلیون و چهارصد سود سپردهٔ این ماه رو واریز کرد.</t>
        </is>
      </c>
      <c r="D11" s="3" t="inlineStr">
        <is>
          <t>ثبت خودکار یا تأیید ساده</t>
        </is>
      </c>
      <c r="E11" s="3" t="inlineStr">
        <is>
          <t>جاری ملت — ۱٬۴۰۰٬۰۰۰</t>
        </is>
      </c>
      <c r="F11" s="3" t="inlineStr">
        <is>
          <t>سایر درآمدها — ۱٬۴۰۰٬۰۰۰</t>
        </is>
      </c>
      <c r="G11" s="5" t="n">
        <v>1400000</v>
      </c>
      <c r="H11" s="3" t="inlineStr"/>
      <c r="I11" s="3" t="inlineStr"/>
      <c r="J11" s="3" t="inlineStr"/>
      <c r="K11" s="3" t="inlineStr">
        <is>
          <t>سود سپرده درآمد غیرعملیاتی است، نه فروش</t>
        </is>
      </c>
    </row>
    <row r="12">
      <c r="A12" s="2" t="inlineStr">
        <is>
          <t>R011</t>
        </is>
      </c>
      <c r="B12" s="3" t="inlineStr">
        <is>
          <t>روزانه</t>
        </is>
      </c>
      <c r="C12" s="3" t="inlineStr">
        <is>
          <t>کاغذ A4 و تونر پرینتر ۹۵۰ هزار تومن خریدیم، نقدی.</t>
        </is>
      </c>
      <c r="D12" s="3" t="inlineStr">
        <is>
          <t>ثبت خودکار یا تأیید ساده</t>
        </is>
      </c>
      <c r="E12" s="3" t="inlineStr">
        <is>
          <t>ملزومات اداری — ۹۵۰٬۰۰۰</t>
        </is>
      </c>
      <c r="F12" s="3" t="inlineStr">
        <is>
          <t>صندوق — ۹۵۰٬۰۰۰</t>
        </is>
      </c>
      <c r="G12" s="5" t="n">
        <v>950000</v>
      </c>
      <c r="H12" s="3" t="inlineStr"/>
      <c r="I12" s="3" t="inlineStr"/>
      <c r="J12" s="3" t="inlineStr"/>
      <c r="K12" s="3" t="inlineStr"/>
    </row>
    <row r="13">
      <c r="A13" s="2" t="inlineStr">
        <is>
          <t>R012</t>
        </is>
      </c>
      <c r="B13" s="3" t="inlineStr">
        <is>
          <t>روزانه</t>
        </is>
      </c>
      <c r="C13" s="3" t="inlineStr">
        <is>
          <t>حق‌الزحمهٔ طراح لوگو پنج میلیون از تجارت پرداخت شد.</t>
        </is>
      </c>
      <c r="D13" s="3" t="inlineStr">
        <is>
          <t>ثبت خودکار یا تأیید ساده</t>
        </is>
      </c>
      <c r="E13" s="3" t="inlineStr">
        <is>
          <t>پیمانکار و خدمات بیرونی — ۵٬۰۰۰٬۰۰۰</t>
        </is>
      </c>
      <c r="F13" s="3" t="inlineStr">
        <is>
          <t>جاری تجارت — ۵٬۰۰۰٬۰۰۰</t>
        </is>
      </c>
      <c r="G13" s="5" t="n">
        <v>5000000</v>
      </c>
      <c r="H13" s="3" t="inlineStr"/>
      <c r="I13" s="3" t="inlineStr"/>
      <c r="J13" s="3" t="inlineStr"/>
      <c r="K13" s="3" t="inlineStr">
        <is>
          <t>«حق‌الزحمه» واژهٔ درآمد خدمات است؛ این‌جا پول رفته</t>
        </is>
      </c>
    </row>
    <row r="14">
      <c r="A14" s="2" t="inlineStr">
        <is>
          <t>R013</t>
        </is>
      </c>
      <c r="B14" s="3" t="inlineStr">
        <is>
          <t>روزانه</t>
        </is>
      </c>
      <c r="C14" s="3" t="inlineStr">
        <is>
          <t>هزینهٔ دورهٔ آموزش اکسل برای دو نفر از کارمندا ۳ میلیون از ملت.</t>
        </is>
      </c>
      <c r="D14" s="3" t="inlineStr">
        <is>
          <t>ثبت خودکار یا تأیید ساده</t>
        </is>
      </c>
      <c r="E14" s="3" t="inlineStr">
        <is>
          <t>آموزش — ۳٬۰۰۰٬۰۰۰</t>
        </is>
      </c>
      <c r="F14" s="3" t="inlineStr">
        <is>
          <t>جاری ملت — ۳٬۰۰۰٬۰۰۰</t>
        </is>
      </c>
      <c r="G14" s="5" t="n">
        <v>3000000</v>
      </c>
      <c r="H14" s="3" t="inlineStr"/>
      <c r="I14" s="3" t="inlineStr"/>
      <c r="J14" s="3" t="inlineStr"/>
      <c r="K14" s="3" t="inlineStr"/>
    </row>
    <row r="15">
      <c r="A15" s="2" t="inlineStr">
        <is>
          <t>R014</t>
        </is>
      </c>
      <c r="B15" s="3" t="inlineStr">
        <is>
          <t>روزانه</t>
        </is>
      </c>
      <c r="C15" s="3" t="inlineStr">
        <is>
          <t>اجارهٔ همین ماه دفتر ۱۵ میلیون به آقای اسدی از ملت واریز شد.</t>
        </is>
      </c>
      <c r="D15" s="3" t="inlineStr">
        <is>
          <t>ثبت خودکار یا تأیید ساده</t>
        </is>
      </c>
      <c r="E15" s="3" t="inlineStr">
        <is>
          <t>اجاره — ۱۵٬۰۰۰٬۰۰۰</t>
        </is>
      </c>
      <c r="F15" s="3" t="inlineStr">
        <is>
          <t>جاری ملت — ۱۵٬۰۰۰٬۰۰۰</t>
        </is>
      </c>
      <c r="G15" s="5" t="n">
        <v>15000000</v>
      </c>
      <c r="H15" s="3" t="inlineStr"/>
      <c r="I15" s="3" t="inlineStr"/>
      <c r="J15" s="3" t="inlineStr">
        <is>
          <t>طرف‌حساب: آقای اسدی.</t>
        </is>
      </c>
      <c r="K15" s="3" t="inlineStr">
        <is>
          <t>اجارهٔ یک‌ماهه هزینه است، نه پیش‌پرداخت</t>
        </is>
      </c>
    </row>
    <row r="16">
      <c r="A16" s="2" t="inlineStr">
        <is>
          <t>R015</t>
        </is>
      </c>
      <c r="B16" s="3" t="inlineStr">
        <is>
          <t>روزانه</t>
        </is>
      </c>
      <c r="C16" s="3" t="inlineStr">
        <is>
          <t>دو میلیون و هفتصد پول پروژهٔ طراحی سایت رو از مشتری نقد گرفتیم.</t>
        </is>
      </c>
      <c r="D16" s="3" t="inlineStr">
        <is>
          <t>ثبت خودکار یا تأیید ساده</t>
        </is>
      </c>
      <c r="E16" s="3" t="inlineStr">
        <is>
          <t>صندوق — ۲٬۷۰۰٬۰۰۰</t>
        </is>
      </c>
      <c r="F16" s="3" t="inlineStr">
        <is>
          <t>پروژه و دستمزد — ۲٬۷۰۰٬۰۰۰</t>
        </is>
      </c>
      <c r="G16" s="5" t="n">
        <v>2700000</v>
      </c>
      <c r="H16" s="3" t="inlineStr"/>
      <c r="I16" s="3" t="inlineStr"/>
      <c r="J16" s="3" t="inlineStr"/>
      <c r="K16" s="3" t="inlineStr"/>
    </row>
    <row r="17">
      <c r="A17" s="2" t="inlineStr">
        <is>
          <t>R016</t>
        </is>
      </c>
      <c r="B17" s="3" t="inlineStr">
        <is>
          <t>گفتار و تایپ</t>
        </is>
      </c>
      <c r="C17" s="3" t="inlineStr">
        <is>
          <t>امروز 12 میلیون تومن جنس فروختیم ریختن به حساب ملت</t>
        </is>
      </c>
      <c r="D17" s="3" t="inlineStr">
        <is>
          <t>ثبت خودکار یا تأیید ساده</t>
        </is>
      </c>
      <c r="E17" s="3" t="inlineStr">
        <is>
          <t>جاری ملت — ۱۲٬۰۰۰٬۰۰۰</t>
        </is>
      </c>
      <c r="F17" s="3" t="inlineStr">
        <is>
          <t>فروش — ۱۲٬۰۰۰٬۰۰۰</t>
        </is>
      </c>
      <c r="G17" s="5" t="n">
        <v>12000000</v>
      </c>
      <c r="H17" s="3" t="inlineStr"/>
      <c r="I17" s="3" t="inlineStr"/>
      <c r="J17" s="3" t="inlineStr"/>
      <c r="K17" s="3" t="inlineStr">
        <is>
          <t>رقم لاتین، بی‌نقطه‌گذاری</t>
        </is>
      </c>
    </row>
    <row r="18">
      <c r="A18" s="2" t="inlineStr">
        <is>
          <t>R017</t>
        </is>
      </c>
      <c r="B18" s="3" t="inlineStr">
        <is>
          <t>گفتار و تایپ</t>
        </is>
      </c>
      <c r="C18" s="3" t="inlineStr">
        <is>
          <t>یه تومن و نیم پول آب دادیم</t>
        </is>
      </c>
      <c r="D18" s="3" t="inlineStr">
        <is>
          <t>کارت سؤال، بعد ثبت</t>
        </is>
      </c>
      <c r="E18" s="3" t="inlineStr">
        <is>
          <t>قبوض — ۱٬۵۰۰٬۰۰۰</t>
        </is>
      </c>
      <c r="F18" s="3" t="inlineStr">
        <is>
          <t>صندوق — ۱٬۵۰۰٬۰۰۰</t>
        </is>
      </c>
      <c r="G18" s="5" t="n">
        <v>1500000</v>
      </c>
      <c r="H18" s="3" t="inlineStr">
        <is>
          <t>مقیاس مبلغ (۱٬۵۰۰ تومان یا ۱٬۵۰۰٬۰۰۰ تومان؟)
از کدام بانک یا صندوق؟</t>
        </is>
      </c>
      <c r="I18" s="3" t="inlineStr">
        <is>
          <t>یک میلیون و پانصد هزار تومان
از صندوق</t>
        </is>
      </c>
      <c r="J18" s="3" t="inlineStr"/>
      <c r="K18" s="3" t="inlineStr">
        <is>
          <t>«تومن» محاوره‌ای یعنی میلیون؛ حدس زدن مقیاس و حساب ممنوع است</t>
        </is>
      </c>
    </row>
    <row r="19">
      <c r="A19" s="2" t="inlineStr">
        <is>
          <t>R018</t>
        </is>
      </c>
      <c r="B19" s="3" t="inlineStr">
        <is>
          <t>گفتار و تایپ</t>
        </is>
      </c>
      <c r="C19" s="3" t="inlineStr">
        <is>
          <t>اقای رضایی ۲ میلیون حق زحمه تعمیر کولر رو گرفت، از صندوق دادیم</t>
        </is>
      </c>
      <c r="D19" s="3" t="inlineStr">
        <is>
          <t>ثبت خودکار یا تأیید ساده</t>
        </is>
      </c>
      <c r="E19" s="3" t="inlineStr">
        <is>
          <t>تعمیر و نگهداری — ۲٬۰۰۰٬۰۰۰</t>
        </is>
      </c>
      <c r="F19" s="3" t="inlineStr">
        <is>
          <t>صندوق — ۲٬۰۰۰٬۰۰۰</t>
        </is>
      </c>
      <c r="G19" s="5" t="n">
        <v>2000000</v>
      </c>
      <c r="H19" s="3" t="inlineStr"/>
      <c r="I19" s="3" t="inlineStr"/>
      <c r="J19" s="3" t="inlineStr">
        <is>
          <t>طرف‌حساب: آقای رضایی.</t>
        </is>
      </c>
      <c r="K19" s="3" t="inlineStr">
        <is>
          <t>«اقای» بی‌کلاه؛ «حق زحمه» واژهٔ درآمد است ولی پول رفته</t>
        </is>
      </c>
    </row>
    <row r="20">
      <c r="A20" s="2" t="inlineStr">
        <is>
          <t>R019</t>
        </is>
      </c>
      <c r="B20" s="3" t="inlineStr">
        <is>
          <t>گفتار و تایپ</t>
        </is>
      </c>
      <c r="C20" s="3" t="inlineStr">
        <is>
          <t>۲۵۰ هزار تومن واسه پیک کارت به کارت کردیم از تجارت</t>
        </is>
      </c>
      <c r="D20" s="3" t="inlineStr">
        <is>
          <t>ثبت خودکار یا تأیید ساده</t>
        </is>
      </c>
      <c r="E20" s="3" t="inlineStr">
        <is>
          <t>حمل‌ونقل — ۲۵۰٬۰۰۰</t>
        </is>
      </c>
      <c r="F20" s="3" t="inlineStr">
        <is>
          <t>جاری تجارت — ۲۵۰٬۰۰۰</t>
        </is>
      </c>
      <c r="G20" s="5" t="n">
        <v>250000</v>
      </c>
      <c r="H20" s="3" t="inlineStr"/>
      <c r="I20" s="3" t="inlineStr"/>
      <c r="J20" s="3" t="inlineStr"/>
      <c r="K20" s="3" t="inlineStr"/>
    </row>
    <row r="21">
      <c r="A21" s="2" t="inlineStr">
        <is>
          <t>R020</t>
        </is>
      </c>
      <c r="B21" s="3" t="inlineStr">
        <is>
          <t>گفتار و تایپ</t>
        </is>
      </c>
      <c r="C21" s="3" t="inlineStr">
        <is>
          <t>فروختیم ۷ میلیون، نصفش نقد نصفش کارت به ملت</t>
        </is>
      </c>
      <c r="D21" s="3" t="inlineStr">
        <is>
          <t>صف حسابدار ← «تحلیل کن»</t>
        </is>
      </c>
      <c r="E21" s="3" t="inlineStr">
        <is>
          <t>صندوق — ۳٬۵۰۰٬۰۰۰
جاری ملت — ۳٬۵۰۰٬۰۰۰</t>
        </is>
      </c>
      <c r="F21" s="3" t="inlineStr">
        <is>
          <t>فروش — ۷٬۰۰۰٬۰۰۰</t>
        </is>
      </c>
      <c r="G21" s="5" t="n">
        <v>7000000</v>
      </c>
      <c r="H21" s="3" t="inlineStr"/>
      <c r="I21" s="3" t="inlineStr"/>
      <c r="J21" s="3" t="inlineStr"/>
      <c r="K21" s="3" t="inlineStr">
        <is>
          <t>دو ورود پول در دو حساب؛ یک ردیف ۷ میلیونی در یک حساب غلط است (دو ثبت جدا هم درست است)</t>
        </is>
      </c>
    </row>
    <row r="22">
      <c r="A22" s="2" t="inlineStr">
        <is>
          <t>R021</t>
        </is>
      </c>
      <c r="B22" s="3" t="inlineStr">
        <is>
          <t>گفتار و تایپ</t>
        </is>
      </c>
      <c r="C22" s="3" t="inlineStr">
        <is>
          <t>خانم شاملو ۲ میلیون بابت کاغذ و تونر از صندوق گرفت</t>
        </is>
      </c>
      <c r="D22" s="3" t="inlineStr">
        <is>
          <t>ثبت خودکار یا تأیید ساده</t>
        </is>
      </c>
      <c r="E22" s="3" t="inlineStr">
        <is>
          <t>ملزومات اداری — ۲٬۰۰۰٬۰۰۰</t>
        </is>
      </c>
      <c r="F22" s="3" t="inlineStr">
        <is>
          <t>صندوق — ۲٬۰۰۰٬۰۰۰</t>
        </is>
      </c>
      <c r="G22" s="5" t="n">
        <v>2000000</v>
      </c>
      <c r="H22" s="3" t="inlineStr"/>
      <c r="I22" s="3" t="inlineStr"/>
      <c r="J22" s="3" t="inlineStr">
        <is>
          <t>طرف‌حساب: خانم شاملو.</t>
        </is>
      </c>
      <c r="K22" s="3" t="inlineStr">
        <is>
          <t>«شام» درون «شاملو» نباید دستهٔ خوراک بسازد</t>
        </is>
      </c>
    </row>
    <row r="23">
      <c r="A23" s="2" t="inlineStr">
        <is>
          <t>R022</t>
        </is>
      </c>
      <c r="B23" s="3" t="inlineStr">
        <is>
          <t>گفتار و تایپ</t>
        </is>
      </c>
      <c r="C23" s="3" t="inlineStr">
        <is>
          <t>آقای وکیلی ۳ میلیون بابت میز برامون خرید، از ملت بهش دادیم</t>
        </is>
      </c>
      <c r="D23" s="3" t="inlineStr">
        <is>
          <t>کارت سؤال، بعد ثبت</t>
        </is>
      </c>
      <c r="E23" s="3" t="inlineStr">
        <is>
          <t>سایر هزینه‌ها — ۳٬۰۰۰٬۰۰۰</t>
        </is>
      </c>
      <c r="F23" s="3" t="inlineStr">
        <is>
          <t>جاری ملت — ۳٬۰۰۰٬۰۰۰</t>
        </is>
      </c>
      <c r="G23" s="5" t="n">
        <v>3000000</v>
      </c>
      <c r="H23" s="3" t="inlineStr">
        <is>
          <t>این خرید برای چیست؟</t>
        </is>
      </c>
      <c r="I23" s="3" t="inlineStr">
        <is>
          <t>استفادهٔ بلندمدت</t>
        </is>
      </c>
      <c r="J23" s="3" t="inlineStr">
        <is>
          <t>طرف‌حساب: آقای وکیلی.</t>
        </is>
      </c>
      <c r="K23" s="3" t="inlineStr">
        <is>
          <t>«وکیل» درون «وکیلی» نباید «پیمانکار» بسازد؛ کالای ماندگار زیر حد ۲۰ میلیون هزینه است، نه دارایی</t>
        </is>
      </c>
    </row>
    <row r="24">
      <c r="A24" s="2" t="inlineStr">
        <is>
          <t>R023</t>
        </is>
      </c>
      <c r="B24" s="3" t="inlineStr">
        <is>
          <t>گفتار و تایپ</t>
        </is>
      </c>
      <c r="C24" s="3" t="inlineStr">
        <is>
          <t>امروز دو میلیون و پونصد خرج غذای مهمونای جلسه شد از صندوق</t>
        </is>
      </c>
      <c r="D24" s="3" t="inlineStr">
        <is>
          <t>ثبت خودکار یا تأیید ساده</t>
        </is>
      </c>
      <c r="E24" s="3" t="inlineStr">
        <is>
          <t>خوراک — ۲٬۵۰۰٬۰۰۰</t>
        </is>
      </c>
      <c r="F24" s="3" t="inlineStr">
        <is>
          <t>صندوق — ۲٬۵۰۰٬۰۰۰</t>
        </is>
      </c>
      <c r="G24" s="5" t="n">
        <v>2500000</v>
      </c>
      <c r="H24" s="3" t="inlineStr"/>
      <c r="I24" s="3" t="inlineStr"/>
      <c r="J24" s="3" t="inlineStr"/>
      <c r="K24" s="3" t="inlineStr">
        <is>
          <t>«پونصد» محاوره‌ای</t>
        </is>
      </c>
    </row>
    <row r="25">
      <c r="A25" s="2" t="inlineStr">
        <is>
          <t>R024</t>
        </is>
      </c>
      <c r="B25" s="3" t="inlineStr">
        <is>
          <t>گفتار و تایپ</t>
        </is>
      </c>
      <c r="C25" s="3" t="inlineStr">
        <is>
          <t>پول اینترنت دفتر یک و دویست شد، از ملت رفت</t>
        </is>
      </c>
      <c r="D25" s="3" t="inlineStr">
        <is>
          <t>ثبت خودکار یا تأیید ساده</t>
        </is>
      </c>
      <c r="E25" s="3" t="inlineStr">
        <is>
          <t>قبوض — ۱٬۲۰۰٬۰۰۰</t>
        </is>
      </c>
      <c r="F25" s="3" t="inlineStr">
        <is>
          <t>جاری ملت — ۱٬۲۰۰٬۰۰۰</t>
        </is>
      </c>
      <c r="G25" s="5" t="n">
        <v>1200000</v>
      </c>
      <c r="H25" s="3" t="inlineStr"/>
      <c r="I25" s="3" t="inlineStr"/>
      <c r="J25" s="3" t="inlineStr"/>
      <c r="K25" s="3" t="inlineStr">
        <is>
          <t>«یک و دویست» یعنی ۱٬۲۰۰٬۰۰۰</t>
        </is>
      </c>
    </row>
    <row r="26">
      <c r="A26" s="2" t="inlineStr">
        <is>
          <t>R025</t>
        </is>
      </c>
      <c r="B26" s="3" t="inlineStr">
        <is>
          <t>بدهی و طلب باز</t>
        </is>
      </c>
      <c r="C26" s="3" t="inlineStr">
        <is>
          <t>قبض برق مهر مغازه ۴ میلیون تومان اومده ولی قراره تا آبان پرداختش کنیم.</t>
        </is>
      </c>
      <c r="D26" s="3" t="inlineStr">
        <is>
          <t>کارت سؤال، بعد ثبت</t>
        </is>
      </c>
      <c r="E26" s="3" t="inlineStr">
        <is>
          <t>قبوض — ۴٬۰۰۰٬۰۰۰</t>
        </is>
      </c>
      <c r="F26" s="3" t="inlineStr">
        <is>
          <t>حساب پرداختنی — اداره برق — ۴٬۰۰۰٬۰۰۰</t>
        </is>
      </c>
      <c r="G26" s="5" t="n">
        <v>4000000</v>
      </c>
      <c r="H26" s="3" t="inlineStr">
        <is>
          <t>طرف حساب چه کسی است؟</t>
        </is>
      </c>
      <c r="I26" s="3" t="inlineStr">
        <is>
          <t>اداره برق</t>
        </is>
      </c>
      <c r="J26" s="3" t="inlineStr"/>
      <c r="K26" s="3" t="inlineStr">
        <is>
          <t>پولی جابه‌جا نشده؛ هیچ ردیف نقدی و هیچ برداشت از صندوق</t>
        </is>
      </c>
    </row>
    <row r="27">
      <c r="A27" s="2" t="inlineStr">
        <is>
          <t>R026</t>
        </is>
      </c>
      <c r="B27" s="3" t="inlineStr">
        <is>
          <t>بدهی و طلب باز</t>
        </is>
      </c>
      <c r="C27" s="3" t="inlineStr">
        <is>
          <t>فاکتور فروش ۲۵ میلیونی برای شرکت آریا تجارت زدیم، قراره آخر ماه بپردازه.</t>
        </is>
      </c>
      <c r="D27" s="3" t="inlineStr">
        <is>
          <t>ثبت خودکار یا تأیید ساده</t>
        </is>
      </c>
      <c r="E27" s="3" t="inlineStr">
        <is>
          <t>حساب دریافتنی — شرکت آریا تجارت — ۲۵٬۰۰۰٬۰۰۰</t>
        </is>
      </c>
      <c r="F27" s="3" t="inlineStr">
        <is>
          <t>فروش — ۲۵٬۰۰۰٬۰۰۰</t>
        </is>
      </c>
      <c r="G27" s="5" t="n">
        <v>25000000</v>
      </c>
      <c r="H27" s="3" t="inlineStr"/>
      <c r="I27" s="3" t="inlineStr"/>
      <c r="J27" s="3" t="inlineStr"/>
      <c r="K27" s="3" t="inlineStr">
        <is>
          <t>فروش نسیه؛ ورود پول ندارد</t>
        </is>
      </c>
    </row>
    <row r="28">
      <c r="A28" s="2" t="inlineStr">
        <is>
          <t>R027</t>
        </is>
      </c>
      <c r="B28" s="3" t="inlineStr">
        <is>
          <t>بدهی و طلب باز</t>
        </is>
      </c>
      <c r="C28" s="3" t="inlineStr">
        <is>
          <t>از پخش گلستان ۱۸ میلیون جنس گرفتیم، پولش هفتهٔ بعد.</t>
        </is>
      </c>
      <c r="D28" s="3" t="inlineStr">
        <is>
          <t>کارت سؤال، بعد ثبت</t>
        </is>
      </c>
      <c r="E28" s="3" t="inlineStr">
        <is>
          <t>مواد و کالا — ۱۸٬۰۰۰٬۰۰۰</t>
        </is>
      </c>
      <c r="F28" s="3" t="inlineStr">
        <is>
          <t>حساب پرداختنی — پخش گلستان — ۱۸٬۰۰۰٬۰۰۰</t>
        </is>
      </c>
      <c r="G28" s="5" t="n">
        <v>18000000</v>
      </c>
      <c r="H28" s="3" t="inlineStr">
        <is>
          <t>این خرید برای چیست؟
(اگر پرسید) نام کالا، تعداد و واحد</t>
        </is>
      </c>
      <c r="I28" s="3" t="inlineStr">
        <is>
          <t>فروش مجدد
۳۶ کارتن روغن، هر کارتن ۵۰۰ هزار تومان</t>
        </is>
      </c>
      <c r="J28" s="3" t="inlineStr"/>
      <c r="K28" s="3" t="inlineStr">
        <is>
          <t>خرید نسیه؛ «گرفتیم» دریافت پول نیست</t>
        </is>
      </c>
    </row>
    <row r="29">
      <c r="A29" s="2" t="inlineStr">
        <is>
          <t>R028</t>
        </is>
      </c>
      <c r="B29" s="3" t="inlineStr">
        <is>
          <t>بدهی و طلب باز</t>
        </is>
      </c>
      <c r="C29" s="3" t="inlineStr">
        <is>
          <t>تعمیرکار اومد کولر رو درست کرد، ۳ میلیون شد، هنوز بهش ندادیم.</t>
        </is>
      </c>
      <c r="D29" s="3" t="inlineStr">
        <is>
          <t>کارت سؤال، بعد ثبت</t>
        </is>
      </c>
      <c r="E29" s="3" t="inlineStr">
        <is>
          <t>تعمیر و نگهداری — ۳٬۰۰۰٬۰۰۰</t>
        </is>
      </c>
      <c r="F29" s="3" t="inlineStr">
        <is>
          <t>حساب پرداختنی — آقای رضایی — ۳٬۰۰۰٬۰۰۰</t>
        </is>
      </c>
      <c r="G29" s="5" t="n">
        <v>3000000</v>
      </c>
      <c r="H29" s="3" t="inlineStr">
        <is>
          <t>نام طرف حساب؟</t>
        </is>
      </c>
      <c r="I29" s="3" t="inlineStr">
        <is>
          <t>آقای رضایی</t>
        </is>
      </c>
      <c r="J29" s="3" t="inlineStr"/>
      <c r="K29" s="3" t="inlineStr">
        <is>
          <t>کار انجام‌شده و پرداخت‌نشده = بدهی</t>
        </is>
      </c>
    </row>
    <row r="30">
      <c r="A30" s="2" t="inlineStr">
        <is>
          <t>R029</t>
        </is>
      </c>
      <c r="B30" s="3" t="inlineStr">
        <is>
          <t>بدهی و طلب باز</t>
        </is>
      </c>
      <c r="C30" s="3" t="inlineStr">
        <is>
          <t>حقوق مهر رو هنوز ندادیم؛ ۴۰ میلیون خالص می‌شه.</t>
        </is>
      </c>
      <c r="D30" s="3" t="inlineStr">
        <is>
          <t>صف حسابدار ← «تحلیل کن»</t>
        </is>
      </c>
      <c r="E30" s="3" t="inlineStr">
        <is>
          <t>حقوق و دستمزد — ۴۰٬۰۰۰٬۰۰۰</t>
        </is>
      </c>
      <c r="F30" s="3" t="inlineStr">
        <is>
          <t>حساب پرداختنی — کارکنان — ۴۰٬۰۰۰٬۰۰۰</t>
        </is>
      </c>
      <c r="G30" s="5" t="n">
        <v>40000000</v>
      </c>
      <c r="H30" s="3" t="inlineStr">
        <is>
          <t>کسور بیمه و مالیات این حقوق چقدر بود؟</t>
        </is>
      </c>
      <c r="I30" s="3" t="inlineStr">
        <is>
          <t>کسوری نداشت</t>
        </is>
      </c>
      <c r="J30" s="3" t="inlineStr"/>
      <c r="K30" s="3" t="inlineStr">
        <is>
          <t>حقوق معوق؛ ردیف نقدی ممنوع؛ «خالص» دوباره پرسیده نشود</t>
        </is>
      </c>
    </row>
    <row r="31">
      <c r="A31" s="2" t="inlineStr">
        <is>
          <t>R030</t>
        </is>
      </c>
      <c r="B31" s="3" t="inlineStr">
        <is>
          <t>بدهی و طلب باز</t>
        </is>
      </c>
      <c r="C31" s="3" t="inlineStr">
        <is>
          <t>خدمات پشتیبانی مهر رو برای مشتری انجام دادیم، ۶ میلیون؛ فاکتورش رفته ولی هنوز پول نداده.</t>
        </is>
      </c>
      <c r="D31" s="3" t="inlineStr">
        <is>
          <t>کارت سؤال، بعد ثبت</t>
        </is>
      </c>
      <c r="E31" s="3" t="inlineStr">
        <is>
          <t>حساب دریافتنی — شرکت آریا تجارت — ۶٬۰۰۰٬۰۰۰</t>
        </is>
      </c>
      <c r="F31" s="3" t="inlineStr">
        <is>
          <t>خدمات — ۶٬۰۰۰٬۰۰۰</t>
        </is>
      </c>
      <c r="G31" s="5" t="n">
        <v>6000000</v>
      </c>
      <c r="H31" s="3" t="inlineStr">
        <is>
          <t>نام مشتری؟</t>
        </is>
      </c>
      <c r="I31" s="3" t="inlineStr">
        <is>
          <t>شرکت آریا تجارت</t>
        </is>
      </c>
      <c r="J31" s="3" t="inlineStr"/>
      <c r="K31" s="3" t="inlineStr"/>
    </row>
    <row r="32">
      <c r="A32" s="2" t="inlineStr">
        <is>
          <t>R031</t>
        </is>
      </c>
      <c r="B32" s="3" t="inlineStr">
        <is>
          <t>بدهی و طلب باز</t>
        </is>
      </c>
      <c r="C32" s="3" t="inlineStr">
        <is>
          <t>قبض گاز ۸۵۰ هزار تومن اومده، پرداخت نشده.</t>
        </is>
      </c>
      <c r="D32" s="3" t="inlineStr">
        <is>
          <t>کارت سؤال، بعد ثبت</t>
        </is>
      </c>
      <c r="E32" s="3" t="inlineStr">
        <is>
          <t>قبوض — ۸۵۰٬۰۰۰</t>
        </is>
      </c>
      <c r="F32" s="3" t="inlineStr">
        <is>
          <t>حساب پرداختنی — شرکت گاز — ۸۵۰٬۰۰۰</t>
        </is>
      </c>
      <c r="G32" s="5" t="n">
        <v>850000</v>
      </c>
      <c r="H32" s="3" t="inlineStr">
        <is>
          <t>طرف حساب؟</t>
        </is>
      </c>
      <c r="I32" s="3" t="inlineStr">
        <is>
          <t>شرکت گاز</t>
        </is>
      </c>
      <c r="J32" s="3" t="inlineStr"/>
      <c r="K32" s="3" t="inlineStr"/>
    </row>
    <row r="33">
      <c r="A33" s="2" t="inlineStr">
        <is>
          <t>R032</t>
        </is>
      </c>
      <c r="B33" s="3" t="inlineStr">
        <is>
          <t>بدهی و طلب باز</t>
        </is>
      </c>
      <c r="C33" s="3" t="inlineStr">
        <is>
          <t>آقای کاظمی ۱۲ میلیون نسیه از ما جنس برد.</t>
        </is>
      </c>
      <c r="D33" s="3" t="inlineStr">
        <is>
          <t>ثبت خودکار یا تأیید ساده</t>
        </is>
      </c>
      <c r="E33" s="3" t="inlineStr">
        <is>
          <t>حساب دریافتنی — آقای کاظمی — ۱۲٬۰۰۰٬۰۰۰</t>
        </is>
      </c>
      <c r="F33" s="3" t="inlineStr">
        <is>
          <t>فروش — ۱۲٬۰۰۰٬۰۰۰</t>
        </is>
      </c>
      <c r="G33" s="5" t="n">
        <v>12000000</v>
      </c>
      <c r="H33" s="3" t="inlineStr"/>
      <c r="I33" s="3" t="inlineStr"/>
      <c r="J33" s="3" t="inlineStr"/>
      <c r="K33" s="3" t="inlineStr">
        <is>
          <t>«برد» یعنی فروش نسیه؛ ورود پول ندارد</t>
        </is>
      </c>
    </row>
    <row r="34">
      <c r="A34" s="2" t="inlineStr">
        <is>
          <t>R033</t>
        </is>
      </c>
      <c r="B34" s="3" t="inlineStr">
        <is>
          <t>تسویه</t>
        </is>
      </c>
      <c r="C34" s="3" t="inlineStr">
        <is>
          <t>شرکت آریا تجارت ۲۵ میلیون بابت فاکتور فروش قبلی واریز کرد به ملت.</t>
        </is>
      </c>
      <c r="D34" s="3" t="inlineStr">
        <is>
          <t>ثبت خودکار یا تأیید ساده</t>
        </is>
      </c>
      <c r="E34" s="3" t="inlineStr">
        <is>
          <t>جاری ملت — ۲۵٬۰۰۰٬۰۰۰</t>
        </is>
      </c>
      <c r="F34" s="3" t="inlineStr">
        <is>
          <t>حساب دریافتنی — شرکت آریا تجارت — ۲۵٬۰۰۰٬۰۰۰</t>
        </is>
      </c>
      <c r="G34" s="5" t="n">
        <v>25000000</v>
      </c>
      <c r="H34" s="3" t="inlineStr"/>
      <c r="I34" s="3" t="inlineStr"/>
      <c r="J34" s="3" t="inlineStr"/>
      <c r="K34" s="3" t="inlineStr">
        <is>
          <t>فروش دوباره ثبت نشود</t>
        </is>
      </c>
    </row>
    <row r="35">
      <c r="A35" s="2" t="inlineStr">
        <is>
          <t>R034</t>
        </is>
      </c>
      <c r="B35" s="3" t="inlineStr">
        <is>
          <t>تسویه</t>
        </is>
      </c>
      <c r="C35" s="3" t="inlineStr">
        <is>
          <t>۱۵ میلیون از ۱۸ میلیون بدهی پخش گلستان رو از تجارت دادیم.</t>
        </is>
      </c>
      <c r="D35" s="3" t="inlineStr">
        <is>
          <t>ثبت خودکار یا تأیید ساده</t>
        </is>
      </c>
      <c r="E35" s="3" t="inlineStr">
        <is>
          <t>حساب پرداختنی — پخش گلستان — ۱۵٬۰۰۰٬۰۰۰</t>
        </is>
      </c>
      <c r="F35" s="3" t="inlineStr">
        <is>
          <t>جاری تجارت — ۱۵٬۰۰۰٬۰۰۰</t>
        </is>
      </c>
      <c r="G35" s="5" t="n">
        <v>15000000</v>
      </c>
      <c r="H35" s="3" t="inlineStr"/>
      <c r="I35" s="3" t="inlineStr"/>
      <c r="J35" s="3" t="inlineStr"/>
      <c r="K35" s="3" t="inlineStr">
        <is>
          <t>تسویهٔ بخشی؛ ۳ میلیون بدهی باز می‌ماند؛ خرید یا هزینهٔ دوباره ممنوع</t>
        </is>
      </c>
    </row>
    <row r="36">
      <c r="A36" s="2" t="inlineStr">
        <is>
          <t>R035</t>
        </is>
      </c>
      <c r="B36" s="3" t="inlineStr">
        <is>
          <t>تسویه</t>
        </is>
      </c>
      <c r="C36" s="3" t="inlineStr">
        <is>
          <t>قبض برق مهر که اومده بود رو امروز از ملت پرداخت کردیم، ۴ میلیون.</t>
        </is>
      </c>
      <c r="D36" s="3" t="inlineStr">
        <is>
          <t>ثبت خودکار یا تأیید ساده</t>
        </is>
      </c>
      <c r="E36" s="3" t="inlineStr">
        <is>
          <t>حساب پرداختنی — اداره برق — ۴٬۰۰۰٬۰۰۰</t>
        </is>
      </c>
      <c r="F36" s="3" t="inlineStr">
        <is>
          <t>جاری ملت — ۴٬۰۰۰٬۰۰۰</t>
        </is>
      </c>
      <c r="G36" s="5" t="n">
        <v>4000000</v>
      </c>
      <c r="H36" s="3" t="inlineStr"/>
      <c r="I36" s="3" t="inlineStr"/>
      <c r="J36" s="3" t="inlineStr"/>
      <c r="K36" s="3" t="inlineStr">
        <is>
          <t>هزینهٔ قبوض دوباره ثبت نشود</t>
        </is>
      </c>
    </row>
    <row r="37">
      <c r="A37" s="2" t="inlineStr">
        <is>
          <t>R036</t>
        </is>
      </c>
      <c r="B37" s="3" t="inlineStr">
        <is>
          <t>تسویه</t>
        </is>
      </c>
      <c r="C37" s="3" t="inlineStr">
        <is>
          <t>آقای کاظمی ۵ میلیون از بدهیش رو نقد آورد.</t>
        </is>
      </c>
      <c r="D37" s="3" t="inlineStr">
        <is>
          <t>ثبت خودکار یا تأیید ساده</t>
        </is>
      </c>
      <c r="E37" s="3" t="inlineStr">
        <is>
          <t>صندوق — ۵٬۰۰۰٬۰۰۰</t>
        </is>
      </c>
      <c r="F37" s="3" t="inlineStr">
        <is>
          <t>حساب دریافتنی — آقای کاظمی — ۵٬۰۰۰٬۰۰۰</t>
        </is>
      </c>
      <c r="G37" s="5" t="n">
        <v>5000000</v>
      </c>
      <c r="H37" s="3" t="inlineStr"/>
      <c r="I37" s="3" t="inlineStr"/>
      <c r="J37" s="3" t="inlineStr"/>
      <c r="K37" s="3" t="inlineStr">
        <is>
          <t>وصول بخشی؛ ماندهٔ ۷ میلیون باز می‌ماند</t>
        </is>
      </c>
    </row>
    <row r="38">
      <c r="A38" s="2" t="inlineStr">
        <is>
          <t>R037</t>
        </is>
      </c>
      <c r="B38" s="3" t="inlineStr">
        <is>
          <t>تسویه</t>
        </is>
      </c>
      <c r="C38" s="3" t="inlineStr">
        <is>
          <t>۳ میلیون آقای رضایی بابت تعمیر کولر رو از صندوق دادیم.</t>
        </is>
      </c>
      <c r="D38" s="3" t="inlineStr">
        <is>
          <t>ثبت خودکار یا تأیید ساده</t>
        </is>
      </c>
      <c r="E38" s="3" t="inlineStr">
        <is>
          <t>حساب پرداختنی — آقای رضایی — ۳٬۰۰۰٬۰۰۰</t>
        </is>
      </c>
      <c r="F38" s="3" t="inlineStr">
        <is>
          <t>صندوق — ۳٬۰۰۰٬۰۰۰</t>
        </is>
      </c>
      <c r="G38" s="5" t="n">
        <v>3000000</v>
      </c>
      <c r="H38" s="3" t="inlineStr"/>
      <c r="I38" s="3" t="inlineStr"/>
      <c r="J38" s="3" t="inlineStr"/>
      <c r="K38" s="3" t="inlineStr"/>
    </row>
    <row r="39">
      <c r="A39" s="2" t="inlineStr">
        <is>
          <t>R038</t>
        </is>
      </c>
      <c r="B39" s="3" t="inlineStr">
        <is>
          <t>تسویه</t>
        </is>
      </c>
      <c r="C39" s="3" t="inlineStr">
        <is>
          <t>۱۰ میلیون بدهی قبلی به آقای نوری رو تسویه کردیم از ملت.</t>
        </is>
      </c>
      <c r="D39" s="3" t="inlineStr">
        <is>
          <t>صف حسابدار ← «تحلیل کن»</t>
        </is>
      </c>
      <c r="E39" s="3" t="inlineStr">
        <is>
          <t>— هیچ سندی —</t>
        </is>
      </c>
      <c r="F39" s="3" t="inlineStr">
        <is>
          <t>— هیچ سندی —</t>
        </is>
      </c>
      <c r="G39" s="5" t="n"/>
      <c r="H39" s="3" t="inlineStr">
        <is>
          <t>سند مبنای این بدهی کدام است؟</t>
        </is>
      </c>
      <c r="I39" s="3" t="inlineStr">
        <is>
          <t>ماندهٔ افتتاحیه ثبت نشده؛ سند مبنا نداریم</t>
        </is>
      </c>
      <c r="J39" s="3" t="inlineStr">
        <is>
          <t>بدون سند مبنا هیچ سندی ثبت نشود و هزینهٔ حدسی ساخته نشود. فقط اگر ماندهٔ افتتاحیهٔ بدهی به آقای نوری ثبت شود: Dr حساب پرداختنی — آقای نوری / Cr جاری ملت ۱۰٬۰۰۰٬۰۰۰</t>
        </is>
      </c>
      <c r="K39" s="3" t="inlineStr">
        <is>
          <t>تسویهٔ بدهی بی‌مانده؛ هزینه ساختن ممنوع</t>
        </is>
      </c>
    </row>
    <row r="40">
      <c r="A40" s="2" t="inlineStr">
        <is>
          <t>R039</t>
        </is>
      </c>
      <c r="B40" s="3" t="inlineStr">
        <is>
          <t>شریک و مالک</t>
        </is>
      </c>
      <c r="C40" s="3" t="inlineStr">
        <is>
          <t>شریکمون آقای سعیدی ۵۰ میلیون گذاشت تو کار و ریخت به ملت؛ گفت هر وقت لازم شد پسش میدیم.</t>
        </is>
      </c>
      <c r="D40" s="3" t="inlineStr">
        <is>
          <t>صف حسابدار ← «تحلیل کن»</t>
        </is>
      </c>
      <c r="E40" s="3" t="inlineStr">
        <is>
          <t>جاری ملت — ۵۰٬۰۰۰٬۰۰۰</t>
        </is>
      </c>
      <c r="F40" s="3" t="inlineStr">
        <is>
          <t>جاری شریک — بدهی شرکت — آقای سعیدی — ۵۰٬۰۰۰٬۰۰۰</t>
        </is>
      </c>
      <c r="G40" s="5" t="n">
        <v>50000000</v>
      </c>
      <c r="H40" s="3" t="inlineStr"/>
      <c r="I40" s="3" t="inlineStr"/>
      <c r="J40" s="3" t="inlineStr"/>
      <c r="K40" s="3" t="inlineStr">
        <is>
          <t>«عیدی» درون «سعیدی» حقوق نیست؛ پول شریک درآمد نیست؛ «پسش میدیم» = قرض شریک به شرکت</t>
        </is>
      </c>
    </row>
    <row r="41">
      <c r="A41" s="2" t="inlineStr">
        <is>
          <t>R040</t>
        </is>
      </c>
      <c r="B41" s="3" t="inlineStr">
        <is>
          <t>شریک و مالک</t>
        </is>
      </c>
      <c r="C41" s="3" t="inlineStr">
        <is>
          <t>خانم کریمی شریکمون ۲۰ میلیون ریخت به حساب شرکت.</t>
        </is>
      </c>
      <c r="D41" s="3" t="inlineStr">
        <is>
          <t>صف حسابدار ← «تحلیل کن»</t>
        </is>
      </c>
      <c r="E41" s="3" t="inlineStr">
        <is>
          <t>جاری ملت — ۲۰٬۰۰۰٬۰۰۰</t>
        </is>
      </c>
      <c r="F41" s="3" t="inlineStr">
        <is>
          <t>جاری شریک — بدهی شرکت — خانم کریمی — ۲۰٬۰۰۰٬۰۰۰</t>
        </is>
      </c>
      <c r="G41" s="5" t="n">
        <v>20000000</v>
      </c>
      <c r="H41" s="3" t="inlineStr">
        <is>
          <t>این انتقال کدام است؟ (کارت گزینه‌ای)
کدام بانک؟</t>
        </is>
      </c>
      <c r="I41" s="3" t="inlineStr">
        <is>
          <t>وجه در اختیار شرکت
جاری ملت</t>
        </is>
      </c>
      <c r="J41" s="3" t="inlineStr"/>
      <c r="K41" s="3" t="inlineStr">
        <is>
          <t>ماهیت گفته نشده؛ باید با گزینه‌ها پرسیده شود</t>
        </is>
      </c>
    </row>
    <row r="42">
      <c r="A42" s="2" t="inlineStr">
        <is>
          <t>R041</t>
        </is>
      </c>
      <c r="B42" s="3" t="inlineStr">
        <is>
          <t>شریک و مالک</t>
        </is>
      </c>
      <c r="C42" s="3" t="inlineStr">
        <is>
          <t>مجمع افزایش سرمایه رو تصویب کرد و آقای سعیدی ۱۰۰ میلیون آوردهٔ سرمایه ریخت به ملت.</t>
        </is>
      </c>
      <c r="D42" s="3" t="inlineStr">
        <is>
          <t>صف حسابدار ← «تحلیل کن»</t>
        </is>
      </c>
      <c r="E42" s="3" t="inlineStr">
        <is>
          <t>جاری ملت — ۱۰۰٬۰۰۰٬۰۰۰</t>
        </is>
      </c>
      <c r="F42" s="3" t="inlineStr">
        <is>
          <t>سرمایه مالک — ۱۰۰٬۰۰۰٬۰۰۰</t>
        </is>
      </c>
      <c r="G42" s="5" t="n">
        <v>100000000</v>
      </c>
      <c r="H42" s="3" t="inlineStr"/>
      <c r="I42" s="3" t="inlineStr"/>
      <c r="J42" s="3" t="inlineStr"/>
      <c r="K42" s="3" t="inlineStr">
        <is>
          <t>آوردهٔ مصوب سرمایه است، نه بدهی و نه درآمد</t>
        </is>
      </c>
    </row>
    <row r="43">
      <c r="A43" s="2" t="inlineStr">
        <is>
          <t>R042</t>
        </is>
      </c>
      <c r="B43" s="3" t="inlineStr">
        <is>
          <t>شریک و مالک</t>
        </is>
      </c>
      <c r="C43" s="3" t="inlineStr">
        <is>
          <t>آقای سعیدی ۸ میلیون از حساب تجارت برای خرج شخصی خودش برداشت.</t>
        </is>
      </c>
      <c r="D43" s="3" t="inlineStr">
        <is>
          <t>صف حسابدار ← «تحلیل کن»</t>
        </is>
      </c>
      <c r="E43" s="3" t="inlineStr">
        <is>
          <t>جاری شریک — طلب شرکت — آقای سعیدی — ۸٬۰۰۰٬۰۰۰</t>
        </is>
      </c>
      <c r="F43" s="3" t="inlineStr">
        <is>
          <t>جاری تجارت — ۸٬۰۰۰٬۰۰۰</t>
        </is>
      </c>
      <c r="G43" s="5" t="n">
        <v>8000000</v>
      </c>
      <c r="H43" s="3" t="inlineStr"/>
      <c r="I43" s="3" t="inlineStr"/>
      <c r="J43" s="3" t="inlineStr"/>
      <c r="K43" s="3" t="inlineStr">
        <is>
          <t>برداشت شخصی هزینهٔ شرکت نیست</t>
        </is>
      </c>
    </row>
    <row r="44">
      <c r="A44" s="2" t="inlineStr">
        <is>
          <t>R043</t>
        </is>
      </c>
      <c r="B44" s="3" t="inlineStr">
        <is>
          <t>شریک و مالک</t>
        </is>
      </c>
      <c r="C44" s="3" t="inlineStr">
        <is>
          <t>قبض تلفن دفتر رو خانم کریمی از جیب خودش داد، ۷۰۰ هزار تومن.</t>
        </is>
      </c>
      <c r="D44" s="3" t="inlineStr">
        <is>
          <t>کارت سؤال، بعد ثبت</t>
        </is>
      </c>
      <c r="E44" s="3" t="inlineStr">
        <is>
          <t>قبوض — ۷۰۰٬۰۰۰</t>
        </is>
      </c>
      <c r="F44" s="3" t="inlineStr">
        <is>
          <t>جاری شریک — بدهی شرکت — خانم کریمی — ۷۰۰٬۰۰۰</t>
        </is>
      </c>
      <c r="G44" s="5" t="n">
        <v>700000</v>
      </c>
      <c r="H44" s="3" t="inlineStr"/>
      <c r="I44" s="3" t="inlineStr"/>
      <c r="J44" s="3" t="inlineStr"/>
      <c r="K44" s="3" t="inlineStr">
        <is>
          <t>از حساب شرکت پولی نرفته؛ ردیف نقدی ممنوع</t>
        </is>
      </c>
    </row>
    <row r="45">
      <c r="A45" s="2" t="inlineStr">
        <is>
          <t>R044</t>
        </is>
      </c>
      <c r="B45" s="3" t="inlineStr">
        <is>
          <t>شریک و مالک</t>
        </is>
      </c>
      <c r="C45" s="3" t="inlineStr">
        <is>
          <t>۲۰ میلیون از پولی که آقای سعیدی گذاشته بود رو بهش پس دادیم از ملت.</t>
        </is>
      </c>
      <c r="D45" s="3" t="inlineStr">
        <is>
          <t>صف حسابدار ← «تحلیل کن»</t>
        </is>
      </c>
      <c r="E45" s="3" t="inlineStr">
        <is>
          <t>جاری شریک — بدهی شرکت — آقای سعیدی — ۲۰٬۰۰۰٬۰۰۰</t>
        </is>
      </c>
      <c r="F45" s="3" t="inlineStr">
        <is>
          <t>جاری ملت — ۲۰٬۰۰۰٬۰۰۰</t>
        </is>
      </c>
      <c r="G45" s="5" t="n">
        <v>20000000</v>
      </c>
      <c r="H45" s="3" t="inlineStr"/>
      <c r="I45" s="3" t="inlineStr"/>
      <c r="J45" s="3" t="inlineStr"/>
      <c r="K45" s="3" t="inlineStr">
        <is>
          <t>بازپرداخت بدهی به شریک؛ هزینه نیست</t>
        </is>
      </c>
    </row>
    <row r="46">
      <c r="A46" s="2" t="inlineStr">
        <is>
          <t>R045</t>
        </is>
      </c>
      <c r="B46" s="3" t="inlineStr">
        <is>
          <t>شریک و مالک</t>
        </is>
      </c>
      <c r="C46" s="3" t="inlineStr">
        <is>
          <t>آقای سعیدی ۸ میلیونی که برداشته بود رو برگردوند به تجارت.</t>
        </is>
      </c>
      <c r="D46" s="3" t="inlineStr">
        <is>
          <t>صف حسابدار ← «تحلیل کن»</t>
        </is>
      </c>
      <c r="E46" s="3" t="inlineStr">
        <is>
          <t>جاری تجارت — ۸٬۰۰۰٬۰۰۰</t>
        </is>
      </c>
      <c r="F46" s="3" t="inlineStr">
        <is>
          <t>جاری شریک — طلب شرکت — آقای سعیدی — ۸٬۰۰۰٬۰۰۰</t>
        </is>
      </c>
      <c r="G46" s="5" t="n">
        <v>8000000</v>
      </c>
      <c r="H46" s="3" t="inlineStr"/>
      <c r="I46" s="3" t="inlineStr"/>
      <c r="J46" s="3" t="inlineStr"/>
      <c r="K46" s="3" t="inlineStr">
        <is>
          <t>برگشت برداشت؛ درآمد نیست</t>
        </is>
      </c>
    </row>
    <row r="47">
      <c r="A47" s="2" t="inlineStr">
        <is>
          <t>R046</t>
        </is>
      </c>
      <c r="B47" s="3" t="inlineStr">
        <is>
          <t>شریک و مالک</t>
        </is>
      </c>
      <c r="C47" s="3" t="inlineStr">
        <is>
          <t>شریکم ۱۰ میلیون برداشت کرد، گفت پسش میده.</t>
        </is>
      </c>
      <c r="D47" s="3" t="inlineStr">
        <is>
          <t>صف حسابدار ← «تحلیل کن»</t>
        </is>
      </c>
      <c r="E47" s="3" t="inlineStr">
        <is>
          <t>جاری شریک — طلب شرکت — آقای سعیدی — ۱۰٬۰۰۰٬۰۰۰</t>
        </is>
      </c>
      <c r="F47" s="3" t="inlineStr">
        <is>
          <t>جاری ملت — ۱۰٬۰۰۰٬۰۰۰</t>
        </is>
      </c>
      <c r="G47" s="5" t="n">
        <v>10000000</v>
      </c>
      <c r="H47" s="3" t="inlineStr">
        <is>
          <t>نوع انتقال (کارت گزینه‌ای)
نام شریک
کدام بانک؟</t>
        </is>
      </c>
      <c r="I47" s="3" t="inlineStr">
        <is>
          <t>برداشت شخصی
آقای سعیدی
جاری ملت</t>
        </is>
      </c>
      <c r="J47" s="3" t="inlineStr"/>
      <c r="K47" s="3" t="inlineStr">
        <is>
          <t>«پسش میده» (او پس می‌دهد) برعکس «پسش میدیم» است</t>
        </is>
      </c>
    </row>
    <row r="48">
      <c r="A48" s="2" t="inlineStr">
        <is>
          <t>R047</t>
        </is>
      </c>
      <c r="B48" s="3" t="inlineStr">
        <is>
          <t>شریک و مالک</t>
        </is>
      </c>
      <c r="C48" s="3" t="inlineStr">
        <is>
          <t>برادرم که شریکمه ده میلیون به حساب شرکت ریخت برای خرید مواد اولیه.</t>
        </is>
      </c>
      <c r="D48" s="3" t="inlineStr">
        <is>
          <t>صف حسابدار ← «تحلیل کن»</t>
        </is>
      </c>
      <c r="E48" s="3" t="inlineStr">
        <is>
          <t>جاری ملت — ۱۰٬۰۰۰٬۰۰۰</t>
        </is>
      </c>
      <c r="F48" s="3" t="inlineStr">
        <is>
          <t>جاری شریک — بدهی شرکت — علی کریمی — ۱۰٬۰۰۰٬۰۰۰</t>
        </is>
      </c>
      <c r="G48" s="5" t="n">
        <v>10000000</v>
      </c>
      <c r="H48" s="3" t="inlineStr">
        <is>
          <t>نوع انتقال
نام شریک
کدام بانک؟</t>
        </is>
      </c>
      <c r="I48" s="3" t="inlineStr">
        <is>
          <t>وجه در اختیار شرکت
علی کریمی
جاری ملت</t>
        </is>
      </c>
      <c r="J48" s="3" t="inlineStr"/>
      <c r="K48" s="3" t="inlineStr">
        <is>
          <t>«برای خرید مواد» یعنی هزینه یا خرید نیست؛ درآمد هم نیست</t>
        </is>
      </c>
    </row>
    <row r="49">
      <c r="A49" s="2" t="inlineStr">
        <is>
          <t>R048</t>
        </is>
      </c>
      <c r="B49" s="3" t="inlineStr">
        <is>
          <t>دارایی ثابت و تعمیر</t>
        </is>
      </c>
      <c r="C49" s="3" t="inlineStr">
        <is>
          <t>یه کلید برق ۴۵۰ هزار تومانی برای تابلوی برق دفتر خریدیم که کلید سوختهٔ قبلی رو عوض کردیم؛ نقد از صندوق.</t>
        </is>
      </c>
      <c r="D49" s="3" t="inlineStr">
        <is>
          <t>ثبت خودکار یا تأیید ساده</t>
        </is>
      </c>
      <c r="E49" s="3" t="inlineStr">
        <is>
          <t>تعمیر و نگهداری — ۴۵۰٬۰۰۰</t>
        </is>
      </c>
      <c r="F49" s="3" t="inlineStr">
        <is>
          <t>صندوق — ۴۵۰٬۰۰۰</t>
        </is>
      </c>
      <c r="G49" s="5" t="n">
        <v>450000</v>
      </c>
      <c r="H49" s="3" t="inlineStr"/>
      <c r="I49" s="3" t="inlineStr"/>
      <c r="J49" s="3" t="inlineStr"/>
      <c r="K49" s="3" t="inlineStr">
        <is>
          <t>«سوخته» سوخت نیست؛ تعویض قطعهٔ معیوب = تعمیر</t>
        </is>
      </c>
    </row>
    <row r="50">
      <c r="A50" s="2" t="inlineStr">
        <is>
          <t>R049</t>
        </is>
      </c>
      <c r="B50" s="3" t="inlineStr">
        <is>
          <t>دارایی ثابت و تعمیر</t>
        </is>
      </c>
      <c r="C50" s="3" t="inlineStr">
        <is>
          <t>یه پرینتر لیزری ۲۵ میلیون تومانی برای دفتر از حساب ملت خریدیم</t>
        </is>
      </c>
      <c r="D50" s="3" t="inlineStr">
        <is>
          <t>صف حسابدار ← «تحلیل کن»</t>
        </is>
      </c>
      <c r="E50" s="3" t="inlineStr">
        <is>
          <t>دارایی ثابت — پرینتر لیزری — ۲۵٬۰۰۰٬۰۰۰</t>
        </is>
      </c>
      <c r="F50" s="3" t="inlineStr">
        <is>
          <t>جاری ملت — ۲۵٬۰۰۰٬۰۰۰</t>
        </is>
      </c>
      <c r="G50" s="5" t="n">
        <v>25000000</v>
      </c>
      <c r="H50" s="3" t="inlineStr">
        <is>
          <t>این خرید برای چیست؟
عمر مفید «پرینتر لیزری»؟</t>
        </is>
      </c>
      <c r="I50" s="3" t="inlineStr">
        <is>
          <t>استفادهٔ بلندمدت
۵ سال</t>
        </is>
      </c>
      <c r="J50" s="3" t="inlineStr"/>
      <c r="K50" s="3" t="inlineStr">
        <is>
          <t>بالای حد ۲۰ میلیون؛ دارایی ثابت با عمر مفید، نه هزینهٔ ماه</t>
        </is>
      </c>
    </row>
    <row r="51">
      <c r="A51" s="2" t="inlineStr">
        <is>
          <t>R050</t>
        </is>
      </c>
      <c r="B51" s="3" t="inlineStr">
        <is>
          <t>دارایی ثابت و تعمیر</t>
        </is>
      </c>
      <c r="C51" s="3" t="inlineStr">
        <is>
          <t>تابلوی برق ساختمان رو با ۲۲ میلیون تومان کامل بازسازی و ارتقا دادیم؛ نقد از صندوق.</t>
        </is>
      </c>
      <c r="D51" s="3" t="inlineStr">
        <is>
          <t>صف حسابدار ← «تحلیل کن»</t>
        </is>
      </c>
      <c r="E51" s="3" t="inlineStr">
        <is>
          <t>دارایی ثابت — بازسازی تابلوی برق — ۲۲٬۰۰۰٬۰۰۰</t>
        </is>
      </c>
      <c r="F51" s="3" t="inlineStr">
        <is>
          <t>صندوق — ۲۲٬۰۰۰٬۰۰۰</t>
        </is>
      </c>
      <c r="G51" s="5" t="n">
        <v>22000000</v>
      </c>
      <c r="H51" s="3" t="inlineStr">
        <is>
          <t>نام دارایی
عمر مفید</t>
        </is>
      </c>
      <c r="I51" s="3" t="inlineStr">
        <is>
          <t>بازسازی تابلوی برق ساختمان
۱۰ سال</t>
        </is>
      </c>
      <c r="J51" s="3" t="inlineStr"/>
      <c r="K51" s="3" t="inlineStr">
        <is>
          <t>ارتقای اساسی بالای حد = دارایی</t>
        </is>
      </c>
    </row>
    <row r="52">
      <c r="A52" s="2" t="inlineStr">
        <is>
          <t>R051</t>
        </is>
      </c>
      <c r="B52" s="3" t="inlineStr">
        <is>
          <t>دارایی ثابت و تعمیر</t>
        </is>
      </c>
      <c r="C52" s="3" t="inlineStr">
        <is>
          <t>لپ‌تاپ ۱۸ میلیونی برای حسابدار از تجارت خریدیم.</t>
        </is>
      </c>
      <c r="D52" s="3" t="inlineStr">
        <is>
          <t>کارت سؤال، بعد ثبت</t>
        </is>
      </c>
      <c r="E52" s="3" t="inlineStr">
        <is>
          <t>ملزومات اداری — ۱۸٬۰۰۰٬۰۰۰</t>
        </is>
      </c>
      <c r="F52" s="3" t="inlineStr">
        <is>
          <t>جاری تجارت — ۱۸٬۰۰۰٬۰۰۰</t>
        </is>
      </c>
      <c r="G52" s="5" t="n">
        <v>18000000</v>
      </c>
      <c r="H52" s="3" t="inlineStr">
        <is>
          <t>این خرید برای چیست؟</t>
        </is>
      </c>
      <c r="I52" s="3" t="inlineStr">
        <is>
          <t>استفادهٔ بلندمدت</t>
        </is>
      </c>
      <c r="J52" s="3" t="inlineStr"/>
      <c r="K52" s="3" t="inlineStr">
        <is>
          <t>ماندگار ولی زیر حد ۲۰ میلیون؛ هزینه است</t>
        </is>
      </c>
    </row>
    <row r="53">
      <c r="A53" s="2" t="inlineStr">
        <is>
          <t>R052</t>
        </is>
      </c>
      <c r="B53" s="3" t="inlineStr">
        <is>
          <t>دارایی ثابت و تعمیر</t>
        </is>
      </c>
      <c r="C53" s="3" t="inlineStr">
        <is>
          <t>ماشین شرکت تصادف کرد، صافکاری و رنگ ۹ میلیون شد، از ملت دادیم.</t>
        </is>
      </c>
      <c r="D53" s="3" t="inlineStr">
        <is>
          <t>ثبت خودکار یا تأیید ساده</t>
        </is>
      </c>
      <c r="E53" s="3" t="inlineStr">
        <is>
          <t>تعمیر و نگهداری — ۹٬۰۰۰٬۰۰۰</t>
        </is>
      </c>
      <c r="F53" s="3" t="inlineStr">
        <is>
          <t>جاری ملت — ۹٬۰۰۰٬۰۰۰</t>
        </is>
      </c>
      <c r="G53" s="5" t="n">
        <v>9000000</v>
      </c>
      <c r="H53" s="3" t="inlineStr"/>
      <c r="I53" s="3" t="inlineStr"/>
      <c r="J53" s="3" t="inlineStr"/>
      <c r="K53" s="3" t="inlineStr"/>
    </row>
    <row r="54">
      <c r="A54" s="2" t="inlineStr">
        <is>
          <t>R053</t>
        </is>
      </c>
      <c r="B54" s="3" t="inlineStr">
        <is>
          <t>دارایی ثابت و تعمیر</t>
        </is>
      </c>
      <c r="C54" s="3" t="inlineStr">
        <is>
          <t>موتور کولر سوخت، یه موتور نو ۶ میلیونی جاش گذاشتیم، نقد.</t>
        </is>
      </c>
      <c r="D54" s="3" t="inlineStr">
        <is>
          <t>ثبت خودکار یا تأیید ساده</t>
        </is>
      </c>
      <c r="E54" s="3" t="inlineStr">
        <is>
          <t>تعمیر و نگهداری — ۶٬۰۰۰٬۰۰۰</t>
        </is>
      </c>
      <c r="F54" s="3" t="inlineStr">
        <is>
          <t>صندوق — ۶٬۰۰۰٬۰۰۰</t>
        </is>
      </c>
      <c r="G54" s="5" t="n">
        <v>6000000</v>
      </c>
      <c r="H54" s="3" t="inlineStr"/>
      <c r="I54" s="3" t="inlineStr"/>
      <c r="J54" s="3" t="inlineStr"/>
      <c r="K54" s="3" t="inlineStr">
        <is>
          <t>فعل «سوخت» بعد از «موتور» سوخت و ایاب‌وذهاب نیست</t>
        </is>
      </c>
    </row>
    <row r="55">
      <c r="A55" s="2" t="inlineStr">
        <is>
          <t>R054</t>
        </is>
      </c>
      <c r="B55" s="3" t="inlineStr">
        <is>
          <t>پیش‌پرداخت، پیش‌دریافت، ودیعه</t>
        </is>
      </c>
      <c r="C55" s="3" t="inlineStr">
        <is>
          <t>اجارهٔ شش‌ماههٔ دفتر رو ۳۶ میلیون تومان پیش‌پرداخت کردیم از بانک ملت.</t>
        </is>
      </c>
      <c r="D55" s="3" t="inlineStr">
        <is>
          <t>صف حسابدار ← «تحلیل کن»</t>
        </is>
      </c>
      <c r="E55" s="3" t="inlineStr">
        <is>
          <t>پیش‌پرداخت اجاره — ۳۶٬۰۰۰٬۰۰۰</t>
        </is>
      </c>
      <c r="F55" s="3" t="inlineStr">
        <is>
          <t>جاری ملت — ۳۶٬۰۰۰٬۰۰۰</t>
        </is>
      </c>
      <c r="G55" s="5" t="n">
        <v>36000000</v>
      </c>
      <c r="H55" s="3" t="inlineStr">
        <is>
          <t>پوشش از چه تاریخی شروع می‌شود؟</t>
        </is>
      </c>
      <c r="I55" s="3" t="inlineStr">
        <is>
          <t>اول آبان ۱۴۰۵</t>
        </is>
      </c>
      <c r="J55" s="3" t="inlineStr"/>
      <c r="K55" s="3" t="inlineStr">
        <is>
          <t>هزینهٔ ماهانه ۶ میلیون در شش ماه؛ کل مبلغ هزینهٔ این ماه نیست</t>
        </is>
      </c>
    </row>
    <row r="56">
      <c r="A56" s="2" t="inlineStr">
        <is>
          <t>R055</t>
        </is>
      </c>
      <c r="B56" s="3" t="inlineStr">
        <is>
          <t>پیش‌پرداخت، پیش‌دریافت، ودیعه</t>
        </is>
      </c>
      <c r="C56" s="3" t="inlineStr">
        <is>
          <t>بیمهٔ آتش‌سوزی انبار یک‌ساله ۱۲ میلیون از ملت.</t>
        </is>
      </c>
      <c r="D56" s="3" t="inlineStr">
        <is>
          <t>صف حسابدار ← «تحلیل کن»</t>
        </is>
      </c>
      <c r="E56" s="3" t="inlineStr">
        <is>
          <t>پیش‌پرداخت بیمه — ۱۲٬۰۰۰٬۰۰۰</t>
        </is>
      </c>
      <c r="F56" s="3" t="inlineStr">
        <is>
          <t>جاری ملت — ۱۲٬۰۰۰٬۰۰۰</t>
        </is>
      </c>
      <c r="G56" s="5" t="n">
        <v>12000000</v>
      </c>
      <c r="H56" s="3" t="inlineStr">
        <is>
          <t>شروع پوشش؟</t>
        </is>
      </c>
      <c r="I56" s="3" t="inlineStr">
        <is>
          <t>اول آبان ۱۴۰۵</t>
        </is>
      </c>
      <c r="J56" s="3" t="inlineStr"/>
      <c r="K56" s="3" t="inlineStr">
        <is>
          <t>«انبار» مفعول بیمه است، نه خرید کالا</t>
        </is>
      </c>
    </row>
    <row r="57">
      <c r="A57" s="2" t="inlineStr">
        <is>
          <t>R056</t>
        </is>
      </c>
      <c r="B57" s="3" t="inlineStr">
        <is>
          <t>پیش‌پرداخت، پیش‌دریافت، ودیعه</t>
        </is>
      </c>
      <c r="C57" s="3" t="inlineStr">
        <is>
          <t>بیمهٔ حوادث کارگران کارگاه یک‌ساله ۱۲ میلیون تومان از بانک ملت پرداخت شد.</t>
        </is>
      </c>
      <c r="D57" s="3" t="inlineStr">
        <is>
          <t>صف حسابدار ← «تحلیل کن»</t>
        </is>
      </c>
      <c r="E57" s="3" t="inlineStr">
        <is>
          <t>پیش‌پرداخت بیمه — ۱۲٬۰۰۰٬۰۰۰</t>
        </is>
      </c>
      <c r="F57" s="3" t="inlineStr">
        <is>
          <t>جاری ملت — ۱۲٬۰۰۰٬۰۰۰</t>
        </is>
      </c>
      <c r="G57" s="5" t="n">
        <v>12000000</v>
      </c>
      <c r="H57" s="3" t="inlineStr">
        <is>
          <t>شروع پوشش؟</t>
        </is>
      </c>
      <c r="I57" s="3" t="inlineStr">
        <is>
          <t>اول آبان ۱۴۰۵</t>
        </is>
      </c>
      <c r="J57" s="3" t="inlineStr"/>
      <c r="K57" s="3" t="inlineStr">
        <is>
          <t>حق بیمهٔ بیمه‌نامه حقوق نیست؛ سؤال تکراری با واژه‌های دیگر نباید دو بار بیاید</t>
        </is>
      </c>
    </row>
    <row r="58">
      <c r="A58" s="2" t="inlineStr">
        <is>
          <t>R057</t>
        </is>
      </c>
      <c r="B58" s="3" t="inlineStr">
        <is>
          <t>پیش‌پرداخت، پیش‌دریافت، ودیعه</t>
        </is>
      </c>
      <c r="C58" s="3" t="inlineStr">
        <is>
          <t>مشتری ۱۵ میلیون پیش‌پرداخت داد برای پروژه‌ای که ماه بعد شروع می‌کنیم، ریخت به ملت.</t>
        </is>
      </c>
      <c r="D58" s="3" t="inlineStr">
        <is>
          <t>صف حسابدار ← «تحلیل کن»</t>
        </is>
      </c>
      <c r="E58" s="3" t="inlineStr">
        <is>
          <t>جاری ملت — ۱۵٬۰۰۰٬۰۰۰</t>
        </is>
      </c>
      <c r="F58" s="3" t="inlineStr">
        <is>
          <t>پیش‌دریافت مشتری — شرکت آریا تجارت — ۱۵٬۰۰۰٬۰۰۰</t>
        </is>
      </c>
      <c r="G58" s="5" t="n">
        <v>15000000</v>
      </c>
      <c r="H58" s="3" t="inlineStr">
        <is>
          <t>نام مشتری؟</t>
        </is>
      </c>
      <c r="I58" s="3" t="inlineStr">
        <is>
          <t>شرکت آریا تجارت</t>
        </is>
      </c>
      <c r="J58" s="3" t="inlineStr"/>
      <c r="K58" s="3" t="inlineStr">
        <is>
          <t>پیش از انجام کار درآمد نیست</t>
        </is>
      </c>
    </row>
    <row r="59">
      <c r="A59" s="2" t="inlineStr">
        <is>
          <t>R058</t>
        </is>
      </c>
      <c r="B59" s="3" t="inlineStr">
        <is>
          <t>پیش‌پرداخت، پیش‌دریافت، ودیعه</t>
        </is>
      </c>
      <c r="C59" s="3" t="inlineStr">
        <is>
          <t>۵۰ میلیون ودیعهٔ اجارهٔ انبار جدید رو به موجر دادیم از ملت؛ موقع تخلیه پس می‌ده.</t>
        </is>
      </c>
      <c r="D59" s="3" t="inlineStr">
        <is>
          <t>صف حسابدار ← «تحلیل کن»</t>
        </is>
      </c>
      <c r="E59" s="3" t="inlineStr">
        <is>
          <t>ودیعه قابل استرداد — آقای اسدی — ۵۰٬۰۰۰٬۰۰۰</t>
        </is>
      </c>
      <c r="F59" s="3" t="inlineStr">
        <is>
          <t>جاری ملت — ۵۰٬۰۰۰٬۰۰۰</t>
        </is>
      </c>
      <c r="G59" s="5" t="n">
        <v>50000000</v>
      </c>
      <c r="H59" s="3" t="inlineStr">
        <is>
          <t>نام موجر؟</t>
        </is>
      </c>
      <c r="I59" s="3" t="inlineStr">
        <is>
          <t>آقای اسدی</t>
        </is>
      </c>
      <c r="J59" s="3" t="inlineStr"/>
      <c r="K59" s="3" t="inlineStr">
        <is>
          <t>ودیعه هزینه نیست؛ «پس می‌ده» آینده است، برگشت وجه نیست</t>
        </is>
      </c>
    </row>
    <row r="60">
      <c r="A60" s="2" t="inlineStr">
        <is>
          <t>R059</t>
        </is>
      </c>
      <c r="B60" s="3" t="inlineStr">
        <is>
          <t>پیش‌پرداخت، پیش‌دریافت، ودیعه</t>
        </is>
      </c>
      <c r="C60" s="3" t="inlineStr">
        <is>
          <t>آقای اسدی ۵۰ میلیون ودیعهٔ انبار رو پس داد چون قرارداد فسخ شد، ریخت به ملت.</t>
        </is>
      </c>
      <c r="D60" s="3" t="inlineStr">
        <is>
          <t>صف حسابدار ← «تحلیل کن»</t>
        </is>
      </c>
      <c r="E60" s="3" t="inlineStr">
        <is>
          <t>جاری ملت — ۵۰٬۰۰۰٬۰۰۰</t>
        </is>
      </c>
      <c r="F60" s="3" t="inlineStr">
        <is>
          <t>ودیعه قابل استرداد — آقای اسدی — ۵۰٬۰۰۰٬۰۰۰</t>
        </is>
      </c>
      <c r="G60" s="5" t="n">
        <v>50000000</v>
      </c>
      <c r="H60" s="3" t="inlineStr"/>
      <c r="I60" s="3" t="inlineStr"/>
      <c r="J60" s="3" t="inlineStr"/>
      <c r="K60" s="3" t="inlineStr">
        <is>
          <t>برگشت ودیعه درآمد نیست</t>
        </is>
      </c>
    </row>
    <row r="61">
      <c r="A61" s="2" t="inlineStr">
        <is>
          <t>R060</t>
        </is>
      </c>
      <c r="B61" s="3" t="inlineStr">
        <is>
          <t>پیش‌پرداخت، پیش‌دریافت، ودیعه</t>
        </is>
      </c>
      <c r="C61" s="3" t="inlineStr">
        <is>
          <t>پروژهٔ شرکت آریا تجارت که پیش‌پرداختش رو گرفته بودیم تموم شد و تحویل دادیم.</t>
        </is>
      </c>
      <c r="D61" s="3" t="inlineStr">
        <is>
          <t>صف حسابدار ← «تحلیل کن»</t>
        </is>
      </c>
      <c r="E61" s="3" t="inlineStr">
        <is>
          <t>پیش‌دریافت مشتری — شرکت آریا تجارت — ۱۵٬۰۰۰٬۰۰۰</t>
        </is>
      </c>
      <c r="F61" s="3" t="inlineStr">
        <is>
          <t>خدمات — ۱۵٬۰۰۰٬۰۰۰</t>
        </is>
      </c>
      <c r="G61" s="5" t="n">
        <v>15000000</v>
      </c>
      <c r="H61" s="3" t="inlineStr"/>
      <c r="I61" s="3" t="inlineStr"/>
      <c r="J61" s="3" t="inlineStr"/>
      <c r="K61" s="3" t="inlineStr">
        <is>
          <t>شناسایی درآمد بدون جابه‌جایی پول؛ ردیف نقدی ممنوع</t>
        </is>
      </c>
    </row>
    <row r="62">
      <c r="A62" s="2" t="inlineStr">
        <is>
          <t>R061</t>
        </is>
      </c>
      <c r="B62" s="3" t="inlineStr">
        <is>
          <t>پیش‌پرداخت، پیش‌دریافت، ودیعه</t>
        </is>
      </c>
      <c r="C62" s="3" t="inlineStr">
        <is>
          <t>بیمهٔ انبار رو فسخ کردیم، ۶ میلیون پس دادن به ملت.</t>
        </is>
      </c>
      <c r="D62" s="3" t="inlineStr">
        <is>
          <t>صف حسابدار ← «تحلیل کن»</t>
        </is>
      </c>
      <c r="E62" s="3" t="inlineStr">
        <is>
          <t>جاری ملت — ۶٬۰۰۰٬۰۰۰</t>
        </is>
      </c>
      <c r="F62" s="3" t="inlineStr">
        <is>
          <t>پیش‌پرداخت بیمه — ۶٬۰۰۰٬۰۰۰</t>
        </is>
      </c>
      <c r="G62" s="5" t="n">
        <v>6000000</v>
      </c>
      <c r="H62" s="3" t="inlineStr"/>
      <c r="I62" s="3" t="inlineStr"/>
      <c r="J62" s="3" t="inlineStr"/>
      <c r="K62" s="3" t="inlineStr">
        <is>
          <t>برگشت حق بیمه پیش‌پرداخت را کم می‌کند؛ درآمد نیست و پرداخت تازه هم نیست</t>
        </is>
      </c>
    </row>
    <row r="63">
      <c r="A63" s="2" t="inlineStr">
        <is>
          <t>R062</t>
        </is>
      </c>
      <c r="B63" s="3" t="inlineStr">
        <is>
          <t>حقوق و کارکنان</t>
        </is>
      </c>
      <c r="C63" s="3" t="inlineStr">
        <is>
          <t>حقوق مهر کارمندها ۳۰ میلیون تومان خالص بود و از بانک ملت واریز شد.</t>
        </is>
      </c>
      <c r="D63" s="3" t="inlineStr">
        <is>
          <t>صف حسابدار ← «تحلیل کن»</t>
        </is>
      </c>
      <c r="E63" s="3" t="inlineStr">
        <is>
          <t>حقوق و دستمزد — ۳۰٬۰۰۰٬۰۰۰</t>
        </is>
      </c>
      <c r="F63" s="3" t="inlineStr">
        <is>
          <t>جاری ملت — ۳۰٬۰۰۰٬۰۰۰</t>
        </is>
      </c>
      <c r="G63" s="5" t="n">
        <v>30000000</v>
      </c>
      <c r="H63" s="3" t="inlineStr">
        <is>
          <t>کسور بیمه و مالیات چقدر بود؟</t>
        </is>
      </c>
      <c r="I63" s="3" t="inlineStr">
        <is>
          <t>کسوری نداشت</t>
        </is>
      </c>
      <c r="J63" s="3" t="inlineStr"/>
      <c r="K63" s="3" t="inlineStr">
        <is>
          <t>«خالص» گفته شده؛ پرسیدن دوبارهٔ «خالص یا ناخالص؟» غلط است</t>
        </is>
      </c>
    </row>
    <row r="64">
      <c r="A64" s="2" t="inlineStr">
        <is>
          <t>R063</t>
        </is>
      </c>
      <c r="B64" s="3" t="inlineStr">
        <is>
          <t>حقوق و کارکنان</t>
        </is>
      </c>
      <c r="C64" s="3" t="inlineStr">
        <is>
          <t>حقوق ناخالص مهر ۵۰ میلیون بود؛ ۷ میلیون بیمه و ۳ میلیون مالیات کسر شد و ۴۰ میلیون از ملت واریز کردیم.</t>
        </is>
      </c>
      <c r="D64" s="3" t="inlineStr">
        <is>
          <t>امتناع درست — شکاف شناخته‌شدهٔ سیستم</t>
        </is>
      </c>
      <c r="E64" s="3" t="inlineStr">
        <is>
          <t>حقوق و دستمزد — ۵۰٬۰۰۰٬۰۰۰</t>
        </is>
      </c>
      <c r="F64" s="3" t="inlineStr">
        <is>
          <t>جاری ملت — ۴۰٬۰۰۰٬۰۰۰
بیمهٔ پرداختنی (تأمین اجتماعی) — ۷٬۰۰۰٬۰۰۰
مالیات حقوق پرداختنی — ۳٬۰۰۰٬۰۰۰</t>
        </is>
      </c>
      <c r="G64" s="5" t="n">
        <v>50000000</v>
      </c>
      <c r="H64" s="3" t="inlineStr"/>
      <c r="I64" s="3" t="inlineStr"/>
      <c r="J64" s="3" t="inlineStr">
        <is>
          <t>ثبت درست همین چهار سطر است. سیستم فعلی پرداخت نقدیِ چندسطری را از «تحلیل کن» ثبت نمی‌کند؛ رفتار درست: پیام صریح «هنوز پشتیبانی نمی‌شود» یا هدایت به صفحهٔ حقوق، نه ثبت ناقص.</t>
        </is>
      </c>
      <c r="K64" s="3" t="inlineStr">
        <is>
          <t>سند نقدی چندسطری</t>
        </is>
      </c>
    </row>
    <row r="65">
      <c r="A65" s="2" t="inlineStr">
        <is>
          <t>R064</t>
        </is>
      </c>
      <c r="B65" s="3" t="inlineStr">
        <is>
          <t>حقوق و کارکنان</t>
        </is>
      </c>
      <c r="C65" s="3" t="inlineStr">
        <is>
          <t>ده میلیون حقوق دادم به کارمندا از ملت.</t>
        </is>
      </c>
      <c r="D65" s="3" t="inlineStr">
        <is>
          <t>صف حسابدار ← «تحلیل کن»</t>
        </is>
      </c>
      <c r="E65" s="3" t="inlineStr">
        <is>
          <t>حقوق و دستمزد — ۱۰٬۰۰۰٬۰۰۰</t>
        </is>
      </c>
      <c r="F65" s="3" t="inlineStr">
        <is>
          <t>جاری ملت — ۱۰٬۰۰۰٬۰۰۰</t>
        </is>
      </c>
      <c r="G65" s="5" t="n">
        <v>10000000</v>
      </c>
      <c r="H65" s="3" t="inlineStr">
        <is>
          <t>خالص یا ناخالص؟ کسور؟</t>
        </is>
      </c>
      <c r="I65" s="3" t="inlineStr">
        <is>
          <t>خالص پرداختی است؛ کسوری نداشت</t>
        </is>
      </c>
      <c r="J65" s="3" t="inlineStr"/>
      <c r="K65" s="3" t="inlineStr"/>
    </row>
    <row r="66">
      <c r="A66" s="2" t="inlineStr">
        <is>
          <t>R065</t>
        </is>
      </c>
      <c r="B66" s="3" t="inlineStr">
        <is>
          <t>حقوق و کارکنان</t>
        </is>
      </c>
      <c r="C66" s="3" t="inlineStr">
        <is>
          <t>۵ میلیون مساعده به رضا احمدی دادیم از صندوق، از حقوق ماه بعدش کم می‌کنیم.</t>
        </is>
      </c>
      <c r="D66" s="3" t="inlineStr">
        <is>
          <t>صف حسابدار ← «تحلیل کن»</t>
        </is>
      </c>
      <c r="E66" s="3" t="inlineStr">
        <is>
          <t>مساعده و طلب از کارکنان — رضا احمدی — ۵٬۰۰۰٬۰۰۰</t>
        </is>
      </c>
      <c r="F66" s="3" t="inlineStr">
        <is>
          <t>صندوق — ۵٬۰۰۰٬۰۰۰</t>
        </is>
      </c>
      <c r="G66" s="5" t="n">
        <v>5000000</v>
      </c>
      <c r="H66" s="3" t="inlineStr"/>
      <c r="I66" s="3" t="inlineStr"/>
      <c r="J66" s="3" t="inlineStr"/>
      <c r="K66" s="3" t="inlineStr">
        <is>
          <t>مساعده هزینهٔ حقوق نیست</t>
        </is>
      </c>
    </row>
    <row r="67">
      <c r="A67" s="2" t="inlineStr">
        <is>
          <t>R066</t>
        </is>
      </c>
      <c r="B67" s="3" t="inlineStr">
        <is>
          <t>حقوق و کارکنان</t>
        </is>
      </c>
      <c r="C67" s="3" t="inlineStr">
        <is>
          <t>عیدی پرسنل ۲۰ میلیون از تجارت دادیم.</t>
        </is>
      </c>
      <c r="D67" s="3" t="inlineStr">
        <is>
          <t>صف حسابدار ← «تحلیل کن»</t>
        </is>
      </c>
      <c r="E67" s="3" t="inlineStr">
        <is>
          <t>حقوق و دستمزد — ۲۰٬۰۰۰٬۰۰۰</t>
        </is>
      </c>
      <c r="F67" s="3" t="inlineStr">
        <is>
          <t>جاری تجارت — ۲۰٬۰۰۰٬۰۰۰</t>
        </is>
      </c>
      <c r="G67" s="5" t="n">
        <v>20000000</v>
      </c>
      <c r="H67" s="3" t="inlineStr">
        <is>
          <t>خالص یا ناخالص؟</t>
        </is>
      </c>
      <c r="I67" s="3" t="inlineStr">
        <is>
          <t>خالص؛ کسوری نداشت</t>
        </is>
      </c>
      <c r="J67" s="3" t="inlineStr"/>
      <c r="K67" s="3" t="inlineStr">
        <is>
          <t>«عیدی» این‌جا واقعاً حقوق است (نمونهٔ منفی برای «سعیدی»)</t>
        </is>
      </c>
    </row>
    <row r="68">
      <c r="A68" s="2" t="inlineStr">
        <is>
          <t>R067</t>
        </is>
      </c>
      <c r="B68" s="3" t="inlineStr">
        <is>
          <t>حقوق و کارکنان</t>
        </is>
      </c>
      <c r="C68" s="3" t="inlineStr">
        <is>
          <t>لیست بیمهٔ تأمین اجتماعی مهر رو ۹ میلیون از ملت پرداخت کردیم.</t>
        </is>
      </c>
      <c r="D68" s="3" t="inlineStr">
        <is>
          <t>صف حسابدار ← «تحلیل کن»</t>
        </is>
      </c>
      <c r="E68" s="3" t="inlineStr">
        <is>
          <t>— هیچ سندی —</t>
        </is>
      </c>
      <c r="F68" s="3" t="inlineStr">
        <is>
          <t>— هیچ سندی —</t>
        </is>
      </c>
      <c r="G68" s="5" t="n"/>
      <c r="H68" s="3" t="inlineStr">
        <is>
          <t>بدهی بیمه قبلاً ثبت شده؟ سهم کارفرما و کارکنان چقدر است؟</t>
        </is>
      </c>
      <c r="I68" s="3" t="inlineStr">
        <is>
          <t>بدهی بیمه ثبت نشده</t>
        </is>
      </c>
      <c r="J68" s="3" t="inlineStr">
        <is>
          <t>پرداخت لیست بیمه بدهی ثبت‌شده را می‌بندد؛ بی‌سند مبنا هزینهٔ حدسی ثبت نشود. با بدهی ثبت‌شده: Dr بیمهٔ پرداختنی (تأمین اجتماعی) / Cr جاری ملت ۹٬۰۰۰٬۰۰۰</t>
        </is>
      </c>
      <c r="K68" s="3" t="inlineStr">
        <is>
          <t>پرداخت بدهی بی‌مانده</t>
        </is>
      </c>
    </row>
    <row r="69">
      <c r="A69" s="2" t="inlineStr">
        <is>
          <t>R068</t>
        </is>
      </c>
      <c r="B69" s="3" t="inlineStr">
        <is>
          <t>ارزش افزوده</t>
        </is>
      </c>
      <c r="C69" s="3" t="inlineStr">
        <is>
          <t>فاکتور خرید از شرکت پخش گلستان زدیم ۴۰ میلیون تومان به‌علاوهٔ ۱۰ درصد ارزش افزوده، پولش هنوز ندادیم.</t>
        </is>
      </c>
      <c r="D69" s="3" t="inlineStr">
        <is>
          <t>کارت سؤال، بعد ثبت</t>
        </is>
      </c>
      <c r="E69" s="3" t="inlineStr">
        <is>
          <t>مواد و کالا — ۴۰٬۰۰۰٬۰۰۰
اعتبار ارزش افزوده — ۴٬۰۰۰٬۰۰۰</t>
        </is>
      </c>
      <c r="F69" s="3" t="inlineStr">
        <is>
          <t>حساب پرداختنی — پخش گلستان — ۴۴٬۰۰۰٬۰۰۰</t>
        </is>
      </c>
      <c r="G69" s="5" t="n">
        <v>44000000</v>
      </c>
      <c r="H69" s="3" t="inlineStr">
        <is>
          <t>این خرید برای چیست؟
جمع فاکتور با ارزش افزوده چقدر است؟</t>
        </is>
      </c>
      <c r="I69" s="3" t="inlineStr">
        <is>
          <t>فروش مجدد
۴۴ میلیون تومان</t>
        </is>
      </c>
      <c r="J69" s="3" t="inlineStr"/>
      <c r="K69" s="3" t="inlineStr">
        <is>
          <t>پرداخت‌نشده؛ نباید پرسیده شود «پولی که جابه‌جا شد چقدر بود»</t>
        </is>
      </c>
    </row>
    <row r="70">
      <c r="A70" s="2" t="inlineStr">
        <is>
          <t>R069</t>
        </is>
      </c>
      <c r="B70" s="3" t="inlineStr">
        <is>
          <t>ارزش افزوده</t>
        </is>
      </c>
      <c r="C70" s="3" t="inlineStr">
        <is>
          <t>۱۱ میلیون با ارزش افزوده لوازم اداری خریدیم از ملت.</t>
        </is>
      </c>
      <c r="D70" s="3" t="inlineStr">
        <is>
          <t>ثبت خودکار یا تأیید ساده</t>
        </is>
      </c>
      <c r="E70" s="3" t="inlineStr">
        <is>
          <t>ملزومات اداری — ۱۰٬۰۰۰٬۰۰۰
اعتبار ارزش افزوده — ۱٬۰۰۰٬۰۰۰</t>
        </is>
      </c>
      <c r="F70" s="3" t="inlineStr">
        <is>
          <t>جاری ملت — ۱۱٬۰۰۰٬۰۰۰</t>
        </is>
      </c>
      <c r="G70" s="5" t="n">
        <v>11000000</v>
      </c>
      <c r="H70" s="3" t="inlineStr"/>
      <c r="I70" s="3" t="inlineStr"/>
      <c r="J70" s="3" t="inlineStr"/>
      <c r="K70" s="3" t="inlineStr">
        <is>
          <t>مبلغ شامل ارزش افزوده؛ تفکیک ۱۰ و ۱</t>
        </is>
      </c>
    </row>
    <row r="71">
      <c r="A71" s="2" t="inlineStr">
        <is>
          <t>R070</t>
        </is>
      </c>
      <c r="B71" s="3" t="inlineStr">
        <is>
          <t>ارزش افزوده</t>
        </is>
      </c>
      <c r="C71" s="3" t="inlineStr">
        <is>
          <t>۵۵ میلیون فروش با ارزش افزوده داشتیم، پولش اومد به ملت.</t>
        </is>
      </c>
      <c r="D71" s="3" t="inlineStr">
        <is>
          <t>ثبت خودکار یا تأیید ساده</t>
        </is>
      </c>
      <c r="E71" s="3" t="inlineStr">
        <is>
          <t>جاری ملت — ۵۵٬۰۰۰٬۰۰۰</t>
        </is>
      </c>
      <c r="F71" s="3" t="inlineStr">
        <is>
          <t>فروش — ۵۰٬۰۰۰٬۰۰۰
مالیات ارزش افزوده پرداختنی — ۵٬۰۰۰٬۰۰۰</t>
        </is>
      </c>
      <c r="G71" s="5" t="n">
        <v>55000000</v>
      </c>
      <c r="H71" s="3" t="inlineStr"/>
      <c r="I71" s="3" t="inlineStr"/>
      <c r="J71" s="3" t="inlineStr"/>
      <c r="K71" s="3" t="inlineStr">
        <is>
          <t>ارزش افزوده درآمد نیست</t>
        </is>
      </c>
    </row>
    <row r="72">
      <c r="A72" s="2" t="inlineStr">
        <is>
          <t>R071</t>
        </is>
      </c>
      <c r="B72" s="3" t="inlineStr">
        <is>
          <t>ارزش افزوده</t>
        </is>
      </c>
      <c r="C72" s="3" t="inlineStr">
        <is>
          <t>۵ میلیون ارزش افزودهٔ فصل رو به سازمان مالیاتی پرداخت کردیم از ملت.</t>
        </is>
      </c>
      <c r="D72" s="3" t="inlineStr">
        <is>
          <t>ثبت خودکار یا تأیید ساده</t>
        </is>
      </c>
      <c r="E72" s="3" t="inlineStr">
        <is>
          <t>مالیات ارزش افزوده پرداختنی — ۵٬۰۰۰٬۰۰۰</t>
        </is>
      </c>
      <c r="F72" s="3" t="inlineStr">
        <is>
          <t>جاری ملت — ۵٬۰۰۰٬۰۰۰</t>
        </is>
      </c>
      <c r="G72" s="5" t="n">
        <v>5000000</v>
      </c>
      <c r="H72" s="3" t="inlineStr"/>
      <c r="I72" s="3" t="inlineStr"/>
      <c r="J72" s="3" t="inlineStr">
        <is>
          <t>این پرداخت فقط بدهی ارزش افزودهٔ فروش را کم می‌کند؛ تهاتر اعتبار خرید (R068 و R069) با بدهی فروش کار بستن دوره است، نه این سند.</t>
        </is>
      </c>
      <c r="K72" s="3" t="inlineStr">
        <is>
          <t>بستن بدهی مالیات؛ هزینه نیست</t>
        </is>
      </c>
    </row>
    <row r="73">
      <c r="A73" s="2" t="inlineStr">
        <is>
          <t>R072</t>
        </is>
      </c>
      <c r="B73" s="3" t="inlineStr">
        <is>
          <t>ارزش افزوده</t>
        </is>
      </c>
      <c r="C73" s="3" t="inlineStr">
        <is>
          <t>فروش ۳۰ میلیون، ارزش افزوده هم داره، نقد گرفتیم.</t>
        </is>
      </c>
      <c r="D73" s="3" t="inlineStr">
        <is>
          <t>کارت سؤال، بعد ثبت</t>
        </is>
      </c>
      <c r="E73" s="3" t="inlineStr">
        <is>
          <t>صندوق — ۳۳٬۰۰۰٬۰۰۰</t>
        </is>
      </c>
      <c r="F73" s="3" t="inlineStr">
        <is>
          <t>فروش — ۳۰٬۰۰۰٬۰۰۰
مالیات ارزش افزوده پرداختنی — ۳٬۰۰۰٬۰۰۰</t>
        </is>
      </c>
      <c r="G73" s="5" t="n">
        <v>33000000</v>
      </c>
      <c r="H73" s="3" t="inlineStr">
        <is>
          <t>ارزش افزوده داخل مبلغ است یا جدا؟</t>
        </is>
      </c>
      <c r="I73" s="3" t="inlineStr">
        <is>
          <t>جدا؛ جمعاً ۳۳ میلیون نقد گرفتیم</t>
        </is>
      </c>
      <c r="J73" s="3" t="inlineStr"/>
      <c r="K73" s="3" t="inlineStr">
        <is>
          <t>ابهام داخل یا جدا؛ حدس ممنوع</t>
        </is>
      </c>
    </row>
    <row r="74">
      <c r="A74" s="2" t="inlineStr">
        <is>
          <t>R073</t>
        </is>
      </c>
      <c r="B74" s="3" t="inlineStr">
        <is>
          <t>ارزش افزوده</t>
        </is>
      </c>
      <c r="C74" s="3" t="inlineStr">
        <is>
          <t>اظهارنامهٔ ارزش افزوده رو فرستادیم، ۸ میلیون بدهی شد که هنوز پرداخت نکردیم.</t>
        </is>
      </c>
      <c r="D74" s="3" t="inlineStr">
        <is>
          <t>صف حسابدار ← «تحلیل کن»</t>
        </is>
      </c>
      <c r="E74" s="3" t="inlineStr">
        <is>
          <t>— هیچ سندی —</t>
        </is>
      </c>
      <c r="F74" s="3" t="inlineStr">
        <is>
          <t>— هیچ سندی —</t>
        </is>
      </c>
      <c r="G74" s="5" t="n"/>
      <c r="H74" s="3" t="inlineStr"/>
      <c r="I74" s="3" t="inlineStr"/>
      <c r="J74" s="3" t="inlineStr">
        <is>
          <t>پولی نرفته؛ هیچ پرداختی ثبت نشود. ثبت بدهی اظهارنامه کار حسابدار است.</t>
        </is>
      </c>
      <c r="K74" s="3" t="inlineStr">
        <is>
          <t>بستن بدهی با پولی که نرفته، ماندهٔ بانک را غلط می‌کند</t>
        </is>
      </c>
    </row>
    <row r="75">
      <c r="A75" s="2" t="inlineStr">
        <is>
          <t>R074</t>
        </is>
      </c>
      <c r="B75" s="3" t="inlineStr">
        <is>
          <t>چک</t>
        </is>
      </c>
      <c r="C75" s="3" t="inlineStr">
        <is>
          <t>۲۰ میلیون جنس به شرکت آریا تجارت فروختیم و یه چک به سررسید ۱۵ آذر گرفتیم.</t>
        </is>
      </c>
      <c r="D75" s="3" t="inlineStr">
        <is>
          <t>صف حسابدار ← «تحلیل کن»</t>
        </is>
      </c>
      <c r="E75" s="3" t="inlineStr">
        <is>
          <t>اسناد دریافتنی — شرکت آریا تجارت — ۲۰٬۰۰۰٬۰۰۰</t>
        </is>
      </c>
      <c r="F75" s="3" t="inlineStr">
        <is>
          <t>فروش — ۲۰٬۰۰۰٬۰۰۰</t>
        </is>
      </c>
      <c r="G75" s="5" t="n">
        <v>20000000</v>
      </c>
      <c r="H75" s="3" t="inlineStr"/>
      <c r="I75" s="3" t="inlineStr"/>
      <c r="J75" s="3" t="inlineStr"/>
      <c r="K75" s="3" t="inlineStr">
        <is>
          <t>چک دریافتی ورود پول به بانک نیست</t>
        </is>
      </c>
    </row>
    <row r="76">
      <c r="A76" s="2" t="inlineStr">
        <is>
          <t>R075</t>
        </is>
      </c>
      <c r="B76" s="3" t="inlineStr">
        <is>
          <t>چک</t>
        </is>
      </c>
      <c r="C76" s="3" t="inlineStr">
        <is>
          <t>یه چک ۱۵ میلیونی به سررسید ۱ دی بابت خرید جنس به پخش گلستان دادیم.</t>
        </is>
      </c>
      <c r="D76" s="3" t="inlineStr">
        <is>
          <t>صف حسابدار ← «تحلیل کن»</t>
        </is>
      </c>
      <c r="E76" s="3" t="inlineStr">
        <is>
          <t>مواد و کالا — ۱۵٬۰۰۰٬۰۰۰</t>
        </is>
      </c>
      <c r="F76" s="3" t="inlineStr">
        <is>
          <t>اسناد پرداختنی — پخش گلستان — ۱۵٬۰۰۰٬۰۰۰</t>
        </is>
      </c>
      <c r="G76" s="5" t="n">
        <v>15000000</v>
      </c>
      <c r="H76" s="3" t="inlineStr">
        <is>
          <t>(اگر پرسید) هدف خرید</t>
        </is>
      </c>
      <c r="I76" s="3" t="inlineStr">
        <is>
          <t>فروش مجدد</t>
        </is>
      </c>
      <c r="J76" s="3" t="inlineStr"/>
      <c r="K76" s="3" t="inlineStr">
        <is>
          <t>چک پرداختی خروج پول از بانک نیست</t>
        </is>
      </c>
    </row>
    <row r="77">
      <c r="A77" s="2" t="inlineStr">
        <is>
          <t>R076</t>
        </is>
      </c>
      <c r="B77" s="3" t="inlineStr">
        <is>
          <t>چک</t>
        </is>
      </c>
      <c r="C77" s="3" t="inlineStr">
        <is>
          <t>یه چک ۸ میلیونی به تعمیرکار دادیم.</t>
        </is>
      </c>
      <c r="D77" s="3" t="inlineStr">
        <is>
          <t>صف حسابدار ← «تحلیل کن»</t>
        </is>
      </c>
      <c r="E77" s="3" t="inlineStr">
        <is>
          <t>تعمیر و نگهداری — ۸٬۰۰۰٬۰۰۰</t>
        </is>
      </c>
      <c r="F77" s="3" t="inlineStr">
        <is>
          <t>اسناد پرداختنی — آقای رضایی — ۸٬۰۰۰٬۰۰۰</t>
        </is>
      </c>
      <c r="G77" s="5" t="n">
        <v>8000000</v>
      </c>
      <c r="H77" s="3" t="inlineStr">
        <is>
          <t>تاریخ سررسید؟
نام طرف حساب؟</t>
        </is>
      </c>
      <c r="I77" s="3" t="inlineStr">
        <is>
          <t>۳۰ آبان ۱۴۰۵
آقای رضایی</t>
        </is>
      </c>
      <c r="J77" s="3" t="inlineStr"/>
      <c r="K77" s="3" t="inlineStr">
        <is>
          <t>بی سررسید، چک ثبت نمی‌شود</t>
        </is>
      </c>
    </row>
    <row r="78">
      <c r="A78" s="2" t="inlineStr">
        <is>
          <t>R077</t>
        </is>
      </c>
      <c r="B78" s="3" t="inlineStr">
        <is>
          <t>چک</t>
        </is>
      </c>
      <c r="C78" s="3" t="inlineStr">
        <is>
          <t>چک ۲۰ میلیونی آریا تجارت برگشت خورد.</t>
        </is>
      </c>
      <c r="D78" s="3" t="inlineStr">
        <is>
          <t>امتناع درست — شکاف شناخته‌شدهٔ سیستم</t>
        </is>
      </c>
      <c r="E78" s="3" t="inlineStr">
        <is>
          <t>حساب دریافتنی — شرکت آریا تجارت — ۲۰٬۰۰۰٬۰۰۰</t>
        </is>
      </c>
      <c r="F78" s="3" t="inlineStr">
        <is>
          <t>اسناد دریافتنی — شرکت آریا تجارت — ۲۰٬۰۰۰٬۰۰۰</t>
        </is>
      </c>
      <c r="G78" s="5" t="n">
        <v>20000000</v>
      </c>
      <c r="H78" s="3" t="inlineStr"/>
      <c r="I78" s="3" t="inlineStr"/>
      <c r="J78" s="3" t="inlineStr">
        <is>
          <t>ثبت درست همین است، ولی از «دفتر چک» و با ارجاع به همان چک؛ «تحلیل کن» باید به دفتر چک ارجاع دهد، نه سند مستقل بسازد.</t>
        </is>
      </c>
      <c r="K78" s="3" t="inlineStr">
        <is>
          <t>برگشت چک عودت وجه نیست</t>
        </is>
      </c>
    </row>
    <row r="79">
      <c r="A79" s="2" t="inlineStr">
        <is>
          <t>R078</t>
        </is>
      </c>
      <c r="B79" s="3" t="inlineStr">
        <is>
          <t>وام</t>
        </is>
      </c>
      <c r="C79" s="3" t="inlineStr">
        <is>
          <t>۲۰۰ میلیون وام از بانک ملت گرفتیم، ریخت به حساب ملت.</t>
        </is>
      </c>
      <c r="D79" s="3" t="inlineStr">
        <is>
          <t>صف حسابدار ← «تحلیل کن»</t>
        </is>
      </c>
      <c r="E79" s="3" t="inlineStr">
        <is>
          <t>جاری ملت — ۲۰۰٬۰۰۰٬۰۰۰</t>
        </is>
      </c>
      <c r="F79" s="3" t="inlineStr">
        <is>
          <t>اصل وام پرداختنی — بانک ملت — ۲۰۰٬۰۰۰٬۰۰۰</t>
        </is>
      </c>
      <c r="G79" s="5" t="n">
        <v>200000000</v>
      </c>
      <c r="H79" s="3" t="inlineStr"/>
      <c r="I79" s="3" t="inlineStr"/>
      <c r="J79" s="3" t="inlineStr"/>
      <c r="K79" s="3" t="inlineStr">
        <is>
          <t>وام درآمد نیست</t>
        </is>
      </c>
    </row>
    <row r="80">
      <c r="A80" s="2" t="inlineStr">
        <is>
          <t>R079</t>
        </is>
      </c>
      <c r="B80" s="3" t="inlineStr">
        <is>
          <t>وام</t>
        </is>
      </c>
      <c r="C80" s="3" t="inlineStr">
        <is>
          <t>قسط وام بانک ملت ۱۲ میلیون تومان پرداخت شد که ۹ میلیونش اصل و ۳ میلیونش سود بود.</t>
        </is>
      </c>
      <c r="D80" s="3" t="inlineStr">
        <is>
          <t>امتناع درست — شکاف شناخته‌شدهٔ سیستم</t>
        </is>
      </c>
      <c r="E80" s="3" t="inlineStr">
        <is>
          <t>اصل وام پرداختنی — بانک ملت — ۹٬۰۰۰٬۰۰۰
هزینهٔ سود تسهیلات — ۳٬۰۰۰٬۰۰۰</t>
        </is>
      </c>
      <c r="F80" s="3" t="inlineStr">
        <is>
          <t>جاری ملت — ۱۲٬۰۰۰٬۰۰۰</t>
        </is>
      </c>
      <c r="G80" s="5" t="n">
        <v>12000000</v>
      </c>
      <c r="H80" s="3" t="inlineStr"/>
      <c r="I80" s="3" t="inlineStr"/>
      <c r="J80" s="3" t="inlineStr">
        <is>
          <t>ثبت درست همین سه سطر است. سیستم فعلی نقدِ چندسطری را از «تحلیل کن» ثبت نمی‌کند و باید صریح بگوید «هنوز پشتیبانی نمی‌شود» با راه جایگزین (دو ثبت جدا).</t>
        </is>
      </c>
      <c r="K80" s="3" t="inlineStr">
        <is>
          <t>اصل و سود در یک پرداخت</t>
        </is>
      </c>
    </row>
    <row r="81">
      <c r="A81" s="2" t="inlineStr">
        <is>
          <t>R080</t>
        </is>
      </c>
      <c r="B81" s="3" t="inlineStr">
        <is>
          <t>وام</t>
        </is>
      </c>
      <c r="C81" s="3" t="inlineStr">
        <is>
          <t>۹ میلیون اصل وام ملت رو پرداخت کردیم.</t>
        </is>
      </c>
      <c r="D81" s="3" t="inlineStr">
        <is>
          <t>صف حسابدار ← «تحلیل کن»</t>
        </is>
      </c>
      <c r="E81" s="3" t="inlineStr">
        <is>
          <t>اصل وام پرداختنی — بانک ملت — ۹٬۰۰۰٬۰۰۰</t>
        </is>
      </c>
      <c r="F81" s="3" t="inlineStr">
        <is>
          <t>جاری ملت — ۹٬۰۰۰٬۰۰۰</t>
        </is>
      </c>
      <c r="G81" s="5" t="n">
        <v>9000000</v>
      </c>
      <c r="H81" s="3" t="inlineStr"/>
      <c r="I81" s="3" t="inlineStr"/>
      <c r="J81" s="3" t="inlineStr"/>
      <c r="K81" s="3" t="inlineStr">
        <is>
          <t>اصل وام هزینه نیست</t>
        </is>
      </c>
    </row>
    <row r="82">
      <c r="A82" s="2" t="inlineStr">
        <is>
          <t>R081</t>
        </is>
      </c>
      <c r="B82" s="3" t="inlineStr">
        <is>
          <t>برگشت</t>
        </is>
      </c>
      <c r="C82" s="3" t="inlineStr">
        <is>
          <t>مشتری ۴ میلیون تومان از کالای نقدی که دیروز خریده بود رو برگروند و پولش رو از صندوق پس دادیم.</t>
        </is>
      </c>
      <c r="D82" s="3" t="inlineStr">
        <is>
          <t>امتناع درست — شکاف شناخته‌شدهٔ سیستم</t>
        </is>
      </c>
      <c r="E82" s="3" t="inlineStr">
        <is>
          <t>فروش (برگشت از فروش) — ۴٬۰۰۰٬۰۰۰</t>
        </is>
      </c>
      <c r="F82" s="3" t="inlineStr">
        <is>
          <t>صندوق — ۴٬۰۰۰٬۰۰۰</t>
        </is>
      </c>
      <c r="G82" s="5" t="n">
        <v>4000000</v>
      </c>
      <c r="H82" s="3" t="inlineStr"/>
      <c r="I82" s="3" t="inlineStr"/>
      <c r="J82" s="3" t="inlineStr">
        <is>
          <t>ثبت درست کاهش فروش است (و برگشت کالا به انبار به بهای تمام‌شده، اگر معلوم باشد). سیستم فعلی برگشت کالا را از «تحلیل کن» ثبت نمی‌کند و باید جلوی سند «موجودی کالا به قیمت فروش» را بگیرد.</t>
        </is>
      </c>
      <c r="K82" s="3" t="inlineStr">
        <is>
          <t>«برگروند» با غلط تایپی؛ برگرداندن کالا به انبار به قیمت فروش غلط است</t>
        </is>
      </c>
    </row>
    <row r="83">
      <c r="A83" s="2" t="inlineStr">
        <is>
          <t>R082</t>
        </is>
      </c>
      <c r="B83" s="3" t="inlineStr">
        <is>
          <t>برگشت</t>
        </is>
      </c>
      <c r="C83" s="3" t="inlineStr">
        <is>
          <t>۵ میلیون تومان از پول اجناسی که هفتهٔ پیش نقد از بازار خریده بودیم پس داده شد و رفت تو صندوق.</t>
        </is>
      </c>
      <c r="D83" s="3" t="inlineStr">
        <is>
          <t>امتناع درست — شکاف شناخته‌شدهٔ سیستم</t>
        </is>
      </c>
      <c r="E83" s="3" t="inlineStr">
        <is>
          <t>صندوق — ۵٬۰۰۰٬۰۰۰</t>
        </is>
      </c>
      <c r="F83" s="3" t="inlineStr">
        <is>
          <t>مواد و کالا (برگشت از خرید) — ۵٬۰۰۰٬۰۰۰</t>
        </is>
      </c>
      <c r="G83" s="5" t="n">
        <v>5000000</v>
      </c>
      <c r="H83" s="3" t="inlineStr"/>
      <c r="I83" s="3" t="inlineStr"/>
      <c r="J83" s="3" t="inlineStr">
        <is>
          <t>ثبت درست همین است. سیستم فعلی باید بگوید برگشت کالا هنوز ثبت نمی‌شود، نه «جهت نقد ناسازگار است».</t>
        </is>
      </c>
      <c r="K83" s="3" t="inlineStr">
        <is>
          <t>ورود پول بابت برگشت خرید، درآمد نیست</t>
        </is>
      </c>
    </row>
    <row r="84">
      <c r="A84" s="2" t="inlineStr">
        <is>
          <t>R083</t>
        </is>
      </c>
      <c r="B84" s="3" t="inlineStr">
        <is>
          <t>برگشت</t>
        </is>
      </c>
      <c r="C84" s="3" t="inlineStr">
        <is>
          <t>۳ میلیون باقی‌ماندهٔ جنس‌های پخش گلستان خراب بود، برگردوندیم؛ از بدهیمون کم کردن.</t>
        </is>
      </c>
      <c r="D84" s="3" t="inlineStr">
        <is>
          <t>صف حسابدار ← «تحلیل کن»</t>
        </is>
      </c>
      <c r="E84" s="3" t="inlineStr">
        <is>
          <t>حساب پرداختنی — پخش گلستان — ۳٬۰۰۰٬۰۰۰</t>
        </is>
      </c>
      <c r="F84" s="3" t="inlineStr">
        <is>
          <t>مواد و کالا (برگشت از خرید) — ۳٬۰۰۰٬۰۰۰</t>
        </is>
      </c>
      <c r="G84" s="5" t="n">
        <v>3000000</v>
      </c>
      <c r="H84" s="3" t="inlineStr"/>
      <c r="I84" s="3" t="inlineStr"/>
      <c r="J84" s="3" t="inlineStr">
        <is>
          <t>بدون ردیف نقدی. اگر سیستم این شکل را هم پشتیبانی نکند، پیام «هنوز پشتیبانی نمی‌شود» رفتار درست است.</t>
        </is>
      </c>
      <c r="K84" s="3" t="inlineStr">
        <is>
          <t>برگشت از خرید نسیه؛ پولی جابه‌جا نشده</t>
        </is>
      </c>
    </row>
    <row r="85">
      <c r="A85" s="2" t="inlineStr">
        <is>
          <t>R084</t>
        </is>
      </c>
      <c r="B85" s="3" t="inlineStr">
        <is>
          <t>برگشت</t>
        </is>
      </c>
      <c r="C85" s="3" t="inlineStr">
        <is>
          <t>پخش گلستان ۲ میلیون اضافه‌ای که پارسال بهشون داده بودیم رو پس داد، به ملت.</t>
        </is>
      </c>
      <c r="D85" s="3" t="inlineStr">
        <is>
          <t>صف حسابدار ← «تحلیل کن»</t>
        </is>
      </c>
      <c r="E85" s="3" t="inlineStr">
        <is>
          <t>— هیچ سندی —</t>
        </is>
      </c>
      <c r="F85" s="3" t="inlineStr">
        <is>
          <t>— هیچ سندی —</t>
        </is>
      </c>
      <c r="G85" s="5" t="n"/>
      <c r="H85" s="3" t="inlineStr"/>
      <c r="I85" s="3" t="inlineStr"/>
      <c r="J85" s="3" t="inlineStr">
        <is>
          <t>بدون ماندهٔ مستندِ پیش‌پرداخت به تأمین‌کننده هیچ سندی ثبت نشود و درآمد ساخته نشود. با مانده: Dr جاری ملت / Cr پیش‌پرداخت به تأمین‌کننده — پخش گلستان ۲٬۰۰۰٬۰۰۰</t>
        </is>
      </c>
      <c r="K85" s="3" t="inlineStr">
        <is>
          <t>برگشت پول بی‌سند مبنا</t>
        </is>
      </c>
    </row>
    <row r="86">
      <c r="A86" s="2" t="inlineStr">
        <is>
          <t>R085</t>
        </is>
      </c>
      <c r="B86" s="3" t="inlineStr">
        <is>
          <t>برگشت</t>
        </is>
      </c>
      <c r="C86" s="3" t="inlineStr">
        <is>
          <t>مشتری ۳ میلیون بیعانه برای سفارش داده بود و امروز چون منصرف شد بهش پس دادیم از صندوق.</t>
        </is>
      </c>
      <c r="D86" s="3" t="inlineStr">
        <is>
          <t>صف حسابدار ← «تحلیل کن»</t>
        </is>
      </c>
      <c r="E86" s="3" t="inlineStr">
        <is>
          <t>— هیچ سندی —</t>
        </is>
      </c>
      <c r="F86" s="3" t="inlineStr">
        <is>
          <t>— هیچ سندی —</t>
        </is>
      </c>
      <c r="G86" s="5" t="n"/>
      <c r="H86" s="3" t="inlineStr"/>
      <c r="I86" s="3" t="inlineStr"/>
      <c r="J86" s="3" t="inlineStr">
        <is>
          <t>بیعانه‌ای ثبت نشده؛ عودت پیش‌دریافت بدون ماندهٔ مستند ثبت نشود و هزینه هم ساخته نشود.</t>
        </is>
      </c>
      <c r="K86" s="3" t="inlineStr">
        <is>
          <t>عودت پیش‌دریافتِ ثبت‌نشده</t>
        </is>
      </c>
    </row>
    <row r="87">
      <c r="A87" s="2" t="inlineStr">
        <is>
          <t>R086</t>
        </is>
      </c>
      <c r="B87" s="3" t="inlineStr">
        <is>
          <t>انتقال داخلی و تنخواه</t>
        </is>
      </c>
      <c r="C87" s="3" t="inlineStr">
        <is>
          <t>۲۰ میلیون از حساب ملت برداشت کردیم گذاشتیم تو صندوق.</t>
        </is>
      </c>
      <c r="D87" s="3" t="inlineStr">
        <is>
          <t>ثبت خودکار یا تأیید ساده</t>
        </is>
      </c>
      <c r="E87" s="3" t="inlineStr">
        <is>
          <t>صندوق — ۲۰٬۰۰۰٬۰۰۰</t>
        </is>
      </c>
      <c r="F87" s="3" t="inlineStr">
        <is>
          <t>جاری ملت — ۲۰٬۰۰۰٬۰۰۰</t>
        </is>
      </c>
      <c r="G87" s="5" t="n">
        <v>20000000</v>
      </c>
      <c r="H87" s="3" t="inlineStr"/>
      <c r="I87" s="3" t="inlineStr"/>
      <c r="J87" s="3" t="inlineStr"/>
      <c r="K87" s="3" t="inlineStr">
        <is>
          <t>انتقال داخلی نه درآمد است نه هزینه</t>
        </is>
      </c>
    </row>
    <row r="88">
      <c r="A88" s="2" t="inlineStr">
        <is>
          <t>R087</t>
        </is>
      </c>
      <c r="B88" s="3" t="inlineStr">
        <is>
          <t>انتقال داخلی و تنخواه</t>
        </is>
      </c>
      <c r="C88" s="3" t="inlineStr">
        <is>
          <t>۵۰ میلیون از ملت به حساب تجارت منتقل کردیم.</t>
        </is>
      </c>
      <c r="D88" s="3" t="inlineStr">
        <is>
          <t>ثبت خودکار یا تأیید ساده</t>
        </is>
      </c>
      <c r="E88" s="3" t="inlineStr">
        <is>
          <t>جاری تجارت — ۵۰٬۰۰۰٬۰۰۰</t>
        </is>
      </c>
      <c r="F88" s="3" t="inlineStr">
        <is>
          <t>جاری ملت — ۵۰٬۰۰۰٬۰۰۰</t>
        </is>
      </c>
      <c r="G88" s="5" t="n">
        <v>50000000</v>
      </c>
      <c r="H88" s="3" t="inlineStr"/>
      <c r="I88" s="3" t="inlineStr"/>
      <c r="J88" s="3" t="inlineStr"/>
      <c r="K88" s="3" t="inlineStr"/>
    </row>
    <row r="89">
      <c r="A89" s="2" t="inlineStr">
        <is>
          <t>R088</t>
        </is>
      </c>
      <c r="B89" s="3" t="inlineStr">
        <is>
          <t>انتقال داخلی و تنخواه</t>
        </is>
      </c>
      <c r="C89" s="3" t="inlineStr">
        <is>
          <t>تنخواه رضا احمدی رو ۱۰ میلیون از ملت شارژ کردیم.</t>
        </is>
      </c>
      <c r="D89" s="3" t="inlineStr">
        <is>
          <t>ثبت خودکار یا تأیید ساده</t>
        </is>
      </c>
      <c r="E89" s="3" t="inlineStr">
        <is>
          <t>تنخواه رضا احمدی — ۱۰٬۰۰۰٬۰۰۰</t>
        </is>
      </c>
      <c r="F89" s="3" t="inlineStr">
        <is>
          <t>جاری ملت — ۱۰٬۰۰۰٬۰۰۰</t>
        </is>
      </c>
      <c r="G89" s="5" t="n">
        <v>10000000</v>
      </c>
      <c r="H89" s="3" t="inlineStr"/>
      <c r="I89" s="3" t="inlineStr"/>
      <c r="J89" s="3" t="inlineStr"/>
      <c r="K89" s="3" t="inlineStr">
        <is>
          <t>شارژ تنخواه هزینه نیست</t>
        </is>
      </c>
    </row>
    <row r="90">
      <c r="A90" s="2" t="inlineStr">
        <is>
          <t>R089</t>
        </is>
      </c>
      <c r="B90" s="3" t="inlineStr">
        <is>
          <t>ابهام و چندمبلغی</t>
        </is>
      </c>
      <c r="C90" s="3" t="inlineStr">
        <is>
          <t>یه واریزی ۷ میلیونی اومده به حساب تجارت، نمی‌دونم از کیه.</t>
        </is>
      </c>
      <c r="D90" s="3" t="inlineStr">
        <is>
          <t>صف حسابدار ← «تحلیل کن»</t>
        </is>
      </c>
      <c r="E90" s="3" t="inlineStr">
        <is>
          <t>جاری تجارت — ۷٬۰۰۰٬۰۰۰</t>
        </is>
      </c>
      <c r="F90" s="3" t="inlineStr">
        <is>
          <t>وجوه دریافتی تعیین‌تکلیف‌نشده — ۷٬۰۰۰٬۰۰۰</t>
        </is>
      </c>
      <c r="G90" s="5" t="n">
        <v>7000000</v>
      </c>
      <c r="H90" s="3" t="inlineStr"/>
      <c r="I90" s="3" t="inlineStr"/>
      <c r="J90" s="3" t="inlineStr"/>
      <c r="K90" s="3" t="inlineStr">
        <is>
          <t>واریز ناشناس درآمد نیست</t>
        </is>
      </c>
    </row>
    <row r="91">
      <c r="A91" s="2" t="inlineStr">
        <is>
          <t>R090</t>
        </is>
      </c>
      <c r="B91" s="3" t="inlineStr">
        <is>
          <t>ابهام و چندمبلغی</t>
        </is>
      </c>
      <c r="C91" s="3" t="inlineStr">
        <is>
          <t>پنج میلیون جابه‌جا شد.</t>
        </is>
      </c>
      <c r="D91" s="3" t="inlineStr">
        <is>
          <t>صف حسابدار ← «تحلیل کن»</t>
        </is>
      </c>
      <c r="E91" s="3" t="inlineStr">
        <is>
          <t>— هیچ سندی —</t>
        </is>
      </c>
      <c r="F91" s="3" t="inlineStr">
        <is>
          <t>— هیچ سندی —</t>
        </is>
      </c>
      <c r="G91" s="5" t="n"/>
      <c r="H91" s="3" t="inlineStr"/>
      <c r="I91" s="3" t="inlineStr"/>
      <c r="J91" s="3" t="inlineStr">
        <is>
          <t>جهت، حساب و بابت معلوم نیست؛ هیچ سندی تا روشن شدن ثبت نشود.</t>
        </is>
      </c>
      <c r="K91" s="3" t="inlineStr">
        <is>
          <t>حدس جهت پول ممنوع</t>
        </is>
      </c>
    </row>
    <row r="92">
      <c r="A92" s="2" t="inlineStr">
        <is>
          <t>R091</t>
        </is>
      </c>
      <c r="B92" s="3" t="inlineStr">
        <is>
          <t>ابهام و چندمبلغی</t>
        </is>
      </c>
      <c r="C92" s="3" t="inlineStr">
        <is>
          <t>یه چیزی خریدیم برای دفتر، مبلغش یادم نیست.</t>
        </is>
      </c>
      <c r="D92" s="3" t="inlineStr">
        <is>
          <t>صف حسابدار ← «تحلیل کن»</t>
        </is>
      </c>
      <c r="E92" s="3" t="inlineStr">
        <is>
          <t>— هیچ سندی —</t>
        </is>
      </c>
      <c r="F92" s="3" t="inlineStr">
        <is>
          <t>— هیچ سندی —</t>
        </is>
      </c>
      <c r="G92" s="5" t="n"/>
      <c r="H92" s="3" t="inlineStr"/>
      <c r="I92" s="3" t="inlineStr"/>
      <c r="J92" s="3" t="inlineStr">
        <is>
          <t>مبلغ نامشخص؛ فقط پیگیری حسابدار، بدون سند.</t>
        </is>
      </c>
      <c r="K92" s="3" t="inlineStr">
        <is>
          <t>گفتهٔ بی‌مبلغ</t>
        </is>
      </c>
    </row>
    <row r="93">
      <c r="A93" s="2" t="inlineStr">
        <is>
          <t>R092</t>
        </is>
      </c>
      <c r="B93" s="3" t="inlineStr">
        <is>
          <t>ابهام و چندمبلغی</t>
        </is>
      </c>
      <c r="C93" s="3" t="inlineStr">
        <is>
          <t>امروز سه تا خرج داشتیم: ۴۰۰ هزار تاکسی، ۲ میلیون ناهار جلسه و ۸۰۰ هزار کاغذ؛ همه از صندوق.</t>
        </is>
      </c>
      <c r="D93" s="3" t="inlineStr">
        <is>
          <t>ثبت خودکار یا تأیید ساده</t>
        </is>
      </c>
      <c r="E93" s="3" t="inlineStr">
        <is>
          <t>حمل‌ونقل — ۴۰۰٬۰۰۰
خوراک — ۲٬۰۰۰٬۰۰۰
ملزومات اداری — ۸۰۰٬۰۰۰</t>
        </is>
      </c>
      <c r="F93" s="3" t="inlineStr">
        <is>
          <t>صندوق — ۳٬۲۰۰٬۰۰۰</t>
        </is>
      </c>
      <c r="G93" s="5" t="n">
        <v>3200000</v>
      </c>
      <c r="H93" s="3" t="inlineStr"/>
      <c r="I93" s="3" t="inlineStr"/>
      <c r="J93" s="3" t="inlineStr">
        <is>
          <t>سه ثبت جدا (هر کدام از صندوق) هم درست است.</t>
        </is>
      </c>
      <c r="K93" s="3" t="inlineStr">
        <is>
          <t>یک ردیف ۳٫۲ میلیونی با یک دسته غلط است</t>
        </is>
      </c>
    </row>
    <row r="94">
      <c r="A94" s="2" t="inlineStr">
        <is>
          <t>R093</t>
        </is>
      </c>
      <c r="B94" s="3" t="inlineStr">
        <is>
          <t>ابهام و چندمبلغی</t>
        </is>
      </c>
      <c r="C94" s="3" t="inlineStr">
        <is>
          <t>اجاره ۱۵ میلیون بود ولی نه ببخشید ۱۲ میلیون، دادیم از ملت.</t>
        </is>
      </c>
      <c r="D94" s="3" t="inlineStr">
        <is>
          <t>ثبت خودکار یا تأیید ساده</t>
        </is>
      </c>
      <c r="E94" s="3" t="inlineStr">
        <is>
          <t>اجاره — ۱۲٬۰۰۰٬۰۰۰</t>
        </is>
      </c>
      <c r="F94" s="3" t="inlineStr">
        <is>
          <t>جاری ملت — ۱۲٬۰۰۰٬۰۰۰</t>
        </is>
      </c>
      <c r="G94" s="5" t="n">
        <v>12000000</v>
      </c>
      <c r="H94" s="3" t="inlineStr"/>
      <c r="I94" s="3" t="inlineStr"/>
      <c r="J94" s="3" t="inlineStr"/>
      <c r="K94" s="3" t="inlineStr">
        <is>
          <t>مبلغ پس‌گرفته‌شده (۱۵) نباید ثبت شود</t>
        </is>
      </c>
    </row>
    <row r="95">
      <c r="A95" s="2" t="inlineStr">
        <is>
          <t>R094</t>
        </is>
      </c>
      <c r="B95" s="3" t="inlineStr">
        <is>
          <t>ابهام و چندمبلغی</t>
        </is>
      </c>
      <c r="C95" s="3" t="inlineStr">
        <is>
          <t>کل خرید امروز ۱۰ میلیون شد که ۶ میلیونش جنس بود و ۴ میلیونش کرایهٔ حمل، از ملت.</t>
        </is>
      </c>
      <c r="D95" s="3" t="inlineStr">
        <is>
          <t>صف حسابدار ← «تحلیل کن»</t>
        </is>
      </c>
      <c r="E95" s="3" t="inlineStr">
        <is>
          <t>مواد و کالا — ۶٬۰۰۰٬۰۰۰
حمل‌ونقل — ۴٬۰۰۰٬۰۰۰</t>
        </is>
      </c>
      <c r="F95" s="3" t="inlineStr">
        <is>
          <t>جاری ملت — ۱۰٬۰۰۰٬۰۰۰</t>
        </is>
      </c>
      <c r="G95" s="5" t="n">
        <v>10000000</v>
      </c>
      <c r="H95" s="3" t="inlineStr"/>
      <c r="I95" s="3" t="inlineStr"/>
      <c r="J95" s="3" t="inlineStr"/>
      <c r="K95" s="3" t="inlineStr">
        <is>
          <t>جمع و اجزا؛ ۲۰ میلیون (جمع + اجزا) ثبت نشود</t>
        </is>
      </c>
    </row>
    <row r="96">
      <c r="A96" s="2" t="inlineStr">
        <is>
          <t>R095</t>
        </is>
      </c>
      <c r="B96" s="3" t="inlineStr">
        <is>
          <t>نباید ثبت شود</t>
        </is>
      </c>
      <c r="C96" s="3" t="inlineStr">
        <is>
          <t>فردا قراره ۱۰ میلیون اجاره بدیم.</t>
        </is>
      </c>
      <c r="D96" s="3" t="inlineStr">
        <is>
          <t>نباید هیچ سندی ثبت شود</t>
        </is>
      </c>
      <c r="E96" s="3" t="inlineStr">
        <is>
          <t>— هیچ سندی —</t>
        </is>
      </c>
      <c r="F96" s="3" t="inlineStr">
        <is>
          <t>— هیچ سندی —</t>
        </is>
      </c>
      <c r="G96" s="5" t="n"/>
      <c r="H96" s="3" t="inlineStr"/>
      <c r="I96" s="3" t="inlineStr"/>
      <c r="J96" s="3" t="inlineStr">
        <is>
          <t>رویداد آینده؛ نهایتاً یادآور، نه سند.</t>
        </is>
      </c>
      <c r="K96" s="3" t="inlineStr">
        <is>
          <t>فعل آینده</t>
        </is>
      </c>
    </row>
    <row r="97">
      <c r="A97" s="2" t="inlineStr">
        <is>
          <t>R096</t>
        </is>
      </c>
      <c r="B97" s="3" t="inlineStr">
        <is>
          <t>نباید ثبت شود</t>
        </is>
      </c>
      <c r="C97" s="3" t="inlineStr">
        <is>
          <t>یه پیش‌فاکتور ۳۰ میلیونی برای مشتری فرستادیم.</t>
        </is>
      </c>
      <c r="D97" s="3" t="inlineStr">
        <is>
          <t>نباید هیچ سندی ثبت شود</t>
        </is>
      </c>
      <c r="E97" s="3" t="inlineStr">
        <is>
          <t>— هیچ سندی —</t>
        </is>
      </c>
      <c r="F97" s="3" t="inlineStr">
        <is>
          <t>— هیچ سندی —</t>
        </is>
      </c>
      <c r="G97" s="5" t="n"/>
      <c r="H97" s="3" t="inlineStr"/>
      <c r="I97" s="3" t="inlineStr"/>
      <c r="J97" s="3" t="inlineStr">
        <is>
          <t>پیش‌فاکتور تعهد یا فروش نیست.</t>
        </is>
      </c>
      <c r="K97" s="3" t="inlineStr">
        <is>
          <t>پیش‌فاکتور</t>
        </is>
      </c>
    </row>
    <row r="98">
      <c r="A98" s="2" t="inlineStr">
        <is>
          <t>R097</t>
        </is>
      </c>
      <c r="B98" s="3" t="inlineStr">
        <is>
          <t>نباید ثبت شود</t>
        </is>
      </c>
      <c r="C98" s="3" t="inlineStr">
        <is>
          <t>ماه پیش کلاً حدود ۲۰ میلیون خرج داشتیم.</t>
        </is>
      </c>
      <c r="D98" s="3" t="inlineStr">
        <is>
          <t>نباید هیچ سندی ثبت شود</t>
        </is>
      </c>
      <c r="E98" s="3" t="inlineStr">
        <is>
          <t>— هیچ سندی —</t>
        </is>
      </c>
      <c r="F98" s="3" t="inlineStr">
        <is>
          <t>— هیچ سندی —</t>
        </is>
      </c>
      <c r="G98" s="5" t="n"/>
      <c r="H98" s="3" t="inlineStr"/>
      <c r="I98" s="3" t="inlineStr"/>
      <c r="J98" s="3" t="inlineStr">
        <is>
          <t>گزارش کلی گذشته، نه رویداد تازه.</t>
        </is>
      </c>
      <c r="K98" s="3" t="inlineStr">
        <is>
          <t>جمع‌بندی، نه تراکنش</t>
        </is>
      </c>
    </row>
    <row r="99">
      <c r="A99" s="2" t="inlineStr">
        <is>
          <t>R098</t>
        </is>
      </c>
      <c r="B99" s="3" t="inlineStr">
        <is>
          <t>نباید ثبت شود</t>
        </is>
      </c>
      <c r="C99" s="3" t="inlineStr">
        <is>
          <t>سفارش آقای کاظمی رو فردا تحویلش میدیم.</t>
        </is>
      </c>
      <c r="D99" s="3" t="inlineStr">
        <is>
          <t>نباید هیچ سندی ثبت شود</t>
        </is>
      </c>
      <c r="E99" s="3" t="inlineStr">
        <is>
          <t>— هیچ سندی —</t>
        </is>
      </c>
      <c r="F99" s="3" t="inlineStr">
        <is>
          <t>— هیچ سندی —</t>
        </is>
      </c>
      <c r="G99" s="5" t="n"/>
      <c r="H99" s="3" t="inlineStr"/>
      <c r="I99" s="3" t="inlineStr"/>
      <c r="J99" s="3" t="inlineStr">
        <is>
          <t>تحویل کالا در آینده؛ پولی در کار نیست.</t>
        </is>
      </c>
      <c r="K99" s="3" t="inlineStr">
        <is>
          <t>«تحویلش میدیم» پرداخت نیست</t>
        </is>
      </c>
    </row>
    <row r="100">
      <c r="A100" s="2" t="inlineStr">
        <is>
          <t>R099</t>
        </is>
      </c>
      <c r="B100" s="3" t="inlineStr">
        <is>
          <t>نباید ثبت شود</t>
        </is>
      </c>
      <c r="C100" s="3" t="inlineStr">
        <is>
          <t>اگه مشتری تا آخر هفته پول بده، ۲ میلیون تخفیف می‌دیم.</t>
        </is>
      </c>
      <c r="D100" s="3" t="inlineStr">
        <is>
          <t>نباید هیچ سندی ثبت شود</t>
        </is>
      </c>
      <c r="E100" s="3" t="inlineStr">
        <is>
          <t>— هیچ سندی —</t>
        </is>
      </c>
      <c r="F100" s="3" t="inlineStr">
        <is>
          <t>— هیچ سندی —</t>
        </is>
      </c>
      <c r="G100" s="5" t="n"/>
      <c r="H100" s="3" t="inlineStr"/>
      <c r="I100" s="3" t="inlineStr"/>
      <c r="J100" s="3" t="inlineStr">
        <is>
          <t>شرط تحقق‌نیافته؛ نه تخفیف ثبت شود نه دریافت.</t>
        </is>
      </c>
      <c r="K100" s="3" t="inlineStr">
        <is>
          <t>جملهٔ شرطی</t>
        </is>
      </c>
    </row>
    <row r="101">
      <c r="A101" s="2" t="inlineStr">
        <is>
          <t>R100</t>
        </is>
      </c>
      <c r="B101" s="3" t="inlineStr">
        <is>
          <t>نباید ثبت شود</t>
        </is>
      </c>
      <c r="C101" s="3" t="inlineStr">
        <is>
          <t>موجودی حساب ملت الان چقدره؟</t>
        </is>
      </c>
      <c r="D101" s="3" t="inlineStr">
        <is>
          <t>نباید هیچ سندی ثبت شود</t>
        </is>
      </c>
      <c r="E101" s="3" t="inlineStr">
        <is>
          <t>— هیچ سندی —</t>
        </is>
      </c>
      <c r="F101" s="3" t="inlineStr">
        <is>
          <t>— هیچ سندی —</t>
        </is>
      </c>
      <c r="G101" s="5" t="n"/>
      <c r="H101" s="3" t="inlineStr"/>
      <c r="I101" s="3" t="inlineStr"/>
      <c r="J101" s="3" t="inlineStr">
        <is>
          <t>پرسش است، نه تراکنش.</t>
        </is>
      </c>
      <c r="K101" s="3" t="inlineStr">
        <is>
          <t>سؤال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شاخص</t>
        </is>
      </c>
      <c r="B1" s="1" t="inlineStr">
        <is>
          <t>مقدار</t>
        </is>
      </c>
    </row>
    <row r="2">
      <c r="A2" s="6" t="inlineStr">
        <is>
          <t>کل سناریوها</t>
        </is>
      </c>
      <c r="B2" s="2">
        <f>COUNTA('تست کور'!$A$2:$A$101)</f>
        <v/>
      </c>
    </row>
    <row r="3">
      <c r="A3" s="6" t="inlineStr">
        <is>
          <t>تست‌شده</t>
        </is>
      </c>
      <c r="B3" s="2">
        <f>COUNTA('تست کور'!$H$2:$H$101)</f>
        <v/>
      </c>
    </row>
    <row r="4">
      <c r="A4" s="6" t="inlineStr">
        <is>
          <t>درست</t>
        </is>
      </c>
      <c r="B4" s="2">
        <f>COUNTIF('تست کور'!$H$2:$H$101,"درست")</f>
        <v/>
      </c>
    </row>
    <row r="5">
      <c r="A5" s="6" t="inlineStr">
        <is>
          <t>درست با سؤال‌های درست</t>
        </is>
      </c>
      <c r="B5" s="2">
        <f>COUNTIF('تست کور'!$H$2:$H$101,"درست با سؤال‌های درست")</f>
        <v/>
      </c>
    </row>
    <row r="6">
      <c r="A6" s="6" t="inlineStr">
        <is>
          <t>امتناع درست</t>
        </is>
      </c>
      <c r="B6" s="2">
        <f>COUNTIF('تست کور'!$H$2:$H$101,"امتناع درست")</f>
        <v/>
      </c>
    </row>
    <row r="7">
      <c r="A7" s="6" t="inlineStr">
        <is>
          <t>غلط</t>
        </is>
      </c>
      <c r="B7" s="2">
        <f>COUNTIF('تست کور'!$H$2:$H$101,"غلط")</f>
        <v/>
      </c>
    </row>
    <row r="8">
      <c r="A8" s="6" t="inlineStr">
        <is>
          <t>ثبت اشتباه با اطمینان (آستانه: صفر)</t>
        </is>
      </c>
      <c r="B8" s="2">
        <f>COUNTIF('تست کور'!$I$2:$I$101,"بله")</f>
        <v/>
      </c>
    </row>
    <row r="9">
      <c r="A9" s="6" t="inlineStr">
        <is>
          <t>نرخ قبولی از تست‌شده‌ها</t>
        </is>
      </c>
      <c r="B9" s="7">
        <f>IF(B3=0,0,(B4+B5+B6)/B3)</f>
        <v/>
      </c>
    </row>
    <row r="12" ht="34" customHeight="1">
      <c r="A12" s="1" t="inlineStr">
        <is>
          <t>گروه</t>
        </is>
      </c>
      <c r="B12" s="1" t="inlineStr">
        <is>
          <t>تعداد</t>
        </is>
      </c>
      <c r="C12" s="1" t="inlineStr">
        <is>
          <t>تست‌شده</t>
        </is>
      </c>
      <c r="D12" s="1" t="inlineStr">
        <is>
          <t>قبول (درست، با سؤال، امتناع درست)</t>
        </is>
      </c>
      <c r="E12" s="1" t="inlineStr">
        <is>
          <t>غلط</t>
        </is>
      </c>
      <c r="F12" s="1" t="inlineStr">
        <is>
          <t>ثبت اشتباه با اطمینان</t>
        </is>
      </c>
      <c r="G12" s="1" t="inlineStr">
        <is>
          <t>نرخ قبولی</t>
        </is>
      </c>
    </row>
    <row r="13">
      <c r="A13" s="6" t="inlineStr">
        <is>
          <t>روزانه</t>
        </is>
      </c>
      <c r="B13" s="2">
        <f>COUNTIF('تست کور'!$B$2:$B$101,A13)</f>
        <v/>
      </c>
      <c r="C13" s="2">
        <f>COUNTIFS('تست کور'!$B$2:$B$101,A13,'تست کور'!$H$2:$H$101,"&lt;&gt;")</f>
        <v/>
      </c>
      <c r="D13" s="2">
        <f>COUNTIFS('تست کور'!$B$2:$B$101,A13,'تست کور'!$H$2:$H$101,"درست")+COUNTIFS('تست کور'!$B$2:$B$101,A13,'تست کور'!$H$2:$H$101,"درست با سؤال‌های درست")+COUNTIFS('تست کور'!$B$2:$B$101,A13,'تست کور'!$H$2:$H$101,"امتناع درست")</f>
        <v/>
      </c>
      <c r="E13" s="2">
        <f>COUNTIFS('تست کور'!$B$2:$B$101,A13,'تست کور'!$H$2:$H$101,"غلط")</f>
        <v/>
      </c>
      <c r="F13" s="2">
        <f>COUNTIFS('تست کور'!$B$2:$B$101,A13,'تست کور'!$I$2:$I$101,"بله")</f>
        <v/>
      </c>
      <c r="G13" s="7">
        <f>IF(C13=0,0,D13/C13)</f>
        <v/>
      </c>
    </row>
    <row r="14">
      <c r="A14" s="6" t="inlineStr">
        <is>
          <t>گفتار و تایپ</t>
        </is>
      </c>
      <c r="B14" s="2">
        <f>COUNTIF('تست کور'!$B$2:$B$101,A14)</f>
        <v/>
      </c>
      <c r="C14" s="2">
        <f>COUNTIFS('تست کور'!$B$2:$B$101,A14,'تست کور'!$H$2:$H$101,"&lt;&gt;")</f>
        <v/>
      </c>
      <c r="D14" s="2">
        <f>COUNTIFS('تست کور'!$B$2:$B$101,A14,'تست کور'!$H$2:$H$101,"درست")+COUNTIFS('تست کور'!$B$2:$B$101,A14,'تست کور'!$H$2:$H$101,"درست با سؤال‌های درست")+COUNTIFS('تست کور'!$B$2:$B$101,A14,'تست کور'!$H$2:$H$101,"امتناع درست")</f>
        <v/>
      </c>
      <c r="E14" s="2">
        <f>COUNTIFS('تست کور'!$B$2:$B$101,A14,'تست کور'!$H$2:$H$101,"غلط")</f>
        <v/>
      </c>
      <c r="F14" s="2">
        <f>COUNTIFS('تست کور'!$B$2:$B$101,A14,'تست کور'!$I$2:$I$101,"بله")</f>
        <v/>
      </c>
      <c r="G14" s="7">
        <f>IF(C14=0,0,D14/C14)</f>
        <v/>
      </c>
    </row>
    <row r="15">
      <c r="A15" s="6" t="inlineStr">
        <is>
          <t>بدهی و طلب باز</t>
        </is>
      </c>
      <c r="B15" s="2">
        <f>COUNTIF('تست کور'!$B$2:$B$101,A15)</f>
        <v/>
      </c>
      <c r="C15" s="2">
        <f>COUNTIFS('تست کور'!$B$2:$B$101,A15,'تست کور'!$H$2:$H$101,"&lt;&gt;")</f>
        <v/>
      </c>
      <c r="D15" s="2">
        <f>COUNTIFS('تست کور'!$B$2:$B$101,A15,'تست کور'!$H$2:$H$101,"درست")+COUNTIFS('تست کور'!$B$2:$B$101,A15,'تست کور'!$H$2:$H$101,"درست با سؤال‌های درست")+COUNTIFS('تست کور'!$B$2:$B$101,A15,'تست کور'!$H$2:$H$101,"امتناع درست")</f>
        <v/>
      </c>
      <c r="E15" s="2">
        <f>COUNTIFS('تست کور'!$B$2:$B$101,A15,'تست کور'!$H$2:$H$101,"غلط")</f>
        <v/>
      </c>
      <c r="F15" s="2">
        <f>COUNTIFS('تست کور'!$B$2:$B$101,A15,'تست کور'!$I$2:$I$101,"بله")</f>
        <v/>
      </c>
      <c r="G15" s="7">
        <f>IF(C15=0,0,D15/C15)</f>
        <v/>
      </c>
    </row>
    <row r="16">
      <c r="A16" s="6" t="inlineStr">
        <is>
          <t>تسویه</t>
        </is>
      </c>
      <c r="B16" s="2">
        <f>COUNTIF('تست کور'!$B$2:$B$101,A16)</f>
        <v/>
      </c>
      <c r="C16" s="2">
        <f>COUNTIFS('تست کور'!$B$2:$B$101,A16,'تست کور'!$H$2:$H$101,"&lt;&gt;")</f>
        <v/>
      </c>
      <c r="D16" s="2">
        <f>COUNTIFS('تست کور'!$B$2:$B$101,A16,'تست کور'!$H$2:$H$101,"درست")+COUNTIFS('تست کور'!$B$2:$B$101,A16,'تست کور'!$H$2:$H$101,"درست با سؤال‌های درست")+COUNTIFS('تست کور'!$B$2:$B$101,A16,'تست کور'!$H$2:$H$101,"امتناع درست")</f>
        <v/>
      </c>
      <c r="E16" s="2">
        <f>COUNTIFS('تست کور'!$B$2:$B$101,A16,'تست کور'!$H$2:$H$101,"غلط")</f>
        <v/>
      </c>
      <c r="F16" s="2">
        <f>COUNTIFS('تست کور'!$B$2:$B$101,A16,'تست کور'!$I$2:$I$101,"بله")</f>
        <v/>
      </c>
      <c r="G16" s="7">
        <f>IF(C16=0,0,D16/C16)</f>
        <v/>
      </c>
    </row>
    <row r="17">
      <c r="A17" s="6" t="inlineStr">
        <is>
          <t>شریک و مالک</t>
        </is>
      </c>
      <c r="B17" s="2">
        <f>COUNTIF('تست کور'!$B$2:$B$101,A17)</f>
        <v/>
      </c>
      <c r="C17" s="2">
        <f>COUNTIFS('تست کور'!$B$2:$B$101,A17,'تست کور'!$H$2:$H$101,"&lt;&gt;")</f>
        <v/>
      </c>
      <c r="D17" s="2">
        <f>COUNTIFS('تست کور'!$B$2:$B$101,A17,'تست کور'!$H$2:$H$101,"درست")+COUNTIFS('تست کور'!$B$2:$B$101,A17,'تست کور'!$H$2:$H$101,"درست با سؤال‌های درست")+COUNTIFS('تست کور'!$B$2:$B$101,A17,'تست کور'!$H$2:$H$101,"امتناع درست")</f>
        <v/>
      </c>
      <c r="E17" s="2">
        <f>COUNTIFS('تست کور'!$B$2:$B$101,A17,'تست کور'!$H$2:$H$101,"غلط")</f>
        <v/>
      </c>
      <c r="F17" s="2">
        <f>COUNTIFS('تست کور'!$B$2:$B$101,A17,'تست کور'!$I$2:$I$101,"بله")</f>
        <v/>
      </c>
      <c r="G17" s="7">
        <f>IF(C17=0,0,D17/C17)</f>
        <v/>
      </c>
    </row>
    <row r="18">
      <c r="A18" s="6" t="inlineStr">
        <is>
          <t>دارایی ثابت و تعمیر</t>
        </is>
      </c>
      <c r="B18" s="2">
        <f>COUNTIF('تست کور'!$B$2:$B$101,A18)</f>
        <v/>
      </c>
      <c r="C18" s="2">
        <f>COUNTIFS('تست کور'!$B$2:$B$101,A18,'تست کور'!$H$2:$H$101,"&lt;&gt;")</f>
        <v/>
      </c>
      <c r="D18" s="2">
        <f>COUNTIFS('تست کور'!$B$2:$B$101,A18,'تست کور'!$H$2:$H$101,"درست")+COUNTIFS('تست کور'!$B$2:$B$101,A18,'تست کور'!$H$2:$H$101,"درست با سؤال‌های درست")+COUNTIFS('تست کور'!$B$2:$B$101,A18,'تست کور'!$H$2:$H$101,"امتناع درست")</f>
        <v/>
      </c>
      <c r="E18" s="2">
        <f>COUNTIFS('تست کور'!$B$2:$B$101,A18,'تست کور'!$H$2:$H$101,"غلط")</f>
        <v/>
      </c>
      <c r="F18" s="2">
        <f>COUNTIFS('تست کور'!$B$2:$B$101,A18,'تست کور'!$I$2:$I$101,"بله")</f>
        <v/>
      </c>
      <c r="G18" s="7">
        <f>IF(C18=0,0,D18/C18)</f>
        <v/>
      </c>
    </row>
    <row r="19">
      <c r="A19" s="6" t="inlineStr">
        <is>
          <t>پیش‌پرداخت، پیش‌دریافت، ودیعه</t>
        </is>
      </c>
      <c r="B19" s="2">
        <f>COUNTIF('تست کور'!$B$2:$B$101,A19)</f>
        <v/>
      </c>
      <c r="C19" s="2">
        <f>COUNTIFS('تست کور'!$B$2:$B$101,A19,'تست کور'!$H$2:$H$101,"&lt;&gt;")</f>
        <v/>
      </c>
      <c r="D19" s="2">
        <f>COUNTIFS('تست کور'!$B$2:$B$101,A19,'تست کور'!$H$2:$H$101,"درست")+COUNTIFS('تست کور'!$B$2:$B$101,A19,'تست کور'!$H$2:$H$101,"درست با سؤال‌های درست")+COUNTIFS('تست کور'!$B$2:$B$101,A19,'تست کور'!$H$2:$H$101,"امتناع درست")</f>
        <v/>
      </c>
      <c r="E19" s="2">
        <f>COUNTIFS('تست کور'!$B$2:$B$101,A19,'تست کور'!$H$2:$H$101,"غلط")</f>
        <v/>
      </c>
      <c r="F19" s="2">
        <f>COUNTIFS('تست کور'!$B$2:$B$101,A19,'تست کور'!$I$2:$I$101,"بله")</f>
        <v/>
      </c>
      <c r="G19" s="7">
        <f>IF(C19=0,0,D19/C19)</f>
        <v/>
      </c>
    </row>
    <row r="20">
      <c r="A20" s="6" t="inlineStr">
        <is>
          <t>حقوق و کارکنان</t>
        </is>
      </c>
      <c r="B20" s="2">
        <f>COUNTIF('تست کور'!$B$2:$B$101,A20)</f>
        <v/>
      </c>
      <c r="C20" s="2">
        <f>COUNTIFS('تست کور'!$B$2:$B$101,A20,'تست کور'!$H$2:$H$101,"&lt;&gt;")</f>
        <v/>
      </c>
      <c r="D20" s="2">
        <f>COUNTIFS('تست کور'!$B$2:$B$101,A20,'تست کور'!$H$2:$H$101,"درست")+COUNTIFS('تست کور'!$B$2:$B$101,A20,'تست کور'!$H$2:$H$101,"درست با سؤال‌های درست")+COUNTIFS('تست کور'!$B$2:$B$101,A20,'تست کور'!$H$2:$H$101,"امتناع درست")</f>
        <v/>
      </c>
      <c r="E20" s="2">
        <f>COUNTIFS('تست کور'!$B$2:$B$101,A20,'تست کور'!$H$2:$H$101,"غلط")</f>
        <v/>
      </c>
      <c r="F20" s="2">
        <f>COUNTIFS('تست کور'!$B$2:$B$101,A20,'تست کور'!$I$2:$I$101,"بله")</f>
        <v/>
      </c>
      <c r="G20" s="7">
        <f>IF(C20=0,0,D20/C20)</f>
        <v/>
      </c>
    </row>
    <row r="21">
      <c r="A21" s="6" t="inlineStr">
        <is>
          <t>ارزش افزوده</t>
        </is>
      </c>
      <c r="B21" s="2">
        <f>COUNTIF('تست کور'!$B$2:$B$101,A21)</f>
        <v/>
      </c>
      <c r="C21" s="2">
        <f>COUNTIFS('تست کور'!$B$2:$B$101,A21,'تست کور'!$H$2:$H$101,"&lt;&gt;")</f>
        <v/>
      </c>
      <c r="D21" s="2">
        <f>COUNTIFS('تست کور'!$B$2:$B$101,A21,'تست کور'!$H$2:$H$101,"درست")+COUNTIFS('تست کور'!$B$2:$B$101,A21,'تست کور'!$H$2:$H$101,"درست با سؤال‌های درست")+COUNTIFS('تست کور'!$B$2:$B$101,A21,'تست کور'!$H$2:$H$101,"امتناع درست")</f>
        <v/>
      </c>
      <c r="E21" s="2">
        <f>COUNTIFS('تست کور'!$B$2:$B$101,A21,'تست کور'!$H$2:$H$101,"غلط")</f>
        <v/>
      </c>
      <c r="F21" s="2">
        <f>COUNTIFS('تست کور'!$B$2:$B$101,A21,'تست کور'!$I$2:$I$101,"بله")</f>
        <v/>
      </c>
      <c r="G21" s="7">
        <f>IF(C21=0,0,D21/C21)</f>
        <v/>
      </c>
    </row>
    <row r="22">
      <c r="A22" s="6" t="inlineStr">
        <is>
          <t>چک</t>
        </is>
      </c>
      <c r="B22" s="2">
        <f>COUNTIF('تست کور'!$B$2:$B$101,A22)</f>
        <v/>
      </c>
      <c r="C22" s="2">
        <f>COUNTIFS('تست کور'!$B$2:$B$101,A22,'تست کور'!$H$2:$H$101,"&lt;&gt;")</f>
        <v/>
      </c>
      <c r="D22" s="2">
        <f>COUNTIFS('تست کور'!$B$2:$B$101,A22,'تست کور'!$H$2:$H$101,"درست")+COUNTIFS('تست کور'!$B$2:$B$101,A22,'تست کور'!$H$2:$H$101,"درست با سؤال‌های درست")+COUNTIFS('تست کور'!$B$2:$B$101,A22,'تست کور'!$H$2:$H$101,"امتناع درست")</f>
        <v/>
      </c>
      <c r="E22" s="2">
        <f>COUNTIFS('تست کور'!$B$2:$B$101,A22,'تست کور'!$H$2:$H$101,"غلط")</f>
        <v/>
      </c>
      <c r="F22" s="2">
        <f>COUNTIFS('تست کور'!$B$2:$B$101,A22,'تست کور'!$I$2:$I$101,"بله")</f>
        <v/>
      </c>
      <c r="G22" s="7">
        <f>IF(C22=0,0,D22/C22)</f>
        <v/>
      </c>
    </row>
    <row r="23">
      <c r="A23" s="6" t="inlineStr">
        <is>
          <t>وام</t>
        </is>
      </c>
      <c r="B23" s="2">
        <f>COUNTIF('تست کور'!$B$2:$B$101,A23)</f>
        <v/>
      </c>
      <c r="C23" s="2">
        <f>COUNTIFS('تست کور'!$B$2:$B$101,A23,'تست کور'!$H$2:$H$101,"&lt;&gt;")</f>
        <v/>
      </c>
      <c r="D23" s="2">
        <f>COUNTIFS('تست کور'!$B$2:$B$101,A23,'تست کور'!$H$2:$H$101,"درست")+COUNTIFS('تست کور'!$B$2:$B$101,A23,'تست کور'!$H$2:$H$101,"درست با سؤال‌های درست")+COUNTIFS('تست کور'!$B$2:$B$101,A23,'تست کور'!$H$2:$H$101,"امتناع درست")</f>
        <v/>
      </c>
      <c r="E23" s="2">
        <f>COUNTIFS('تست کور'!$B$2:$B$101,A23,'تست کور'!$H$2:$H$101,"غلط")</f>
        <v/>
      </c>
      <c r="F23" s="2">
        <f>COUNTIFS('تست کور'!$B$2:$B$101,A23,'تست کور'!$I$2:$I$101,"بله")</f>
        <v/>
      </c>
      <c r="G23" s="7">
        <f>IF(C23=0,0,D23/C23)</f>
        <v/>
      </c>
    </row>
    <row r="24">
      <c r="A24" s="6" t="inlineStr">
        <is>
          <t>برگشت</t>
        </is>
      </c>
      <c r="B24" s="2">
        <f>COUNTIF('تست کور'!$B$2:$B$101,A24)</f>
        <v/>
      </c>
      <c r="C24" s="2">
        <f>COUNTIFS('تست کور'!$B$2:$B$101,A24,'تست کور'!$H$2:$H$101,"&lt;&gt;")</f>
        <v/>
      </c>
      <c r="D24" s="2">
        <f>COUNTIFS('تست کور'!$B$2:$B$101,A24,'تست کور'!$H$2:$H$101,"درست")+COUNTIFS('تست کور'!$B$2:$B$101,A24,'تست کور'!$H$2:$H$101,"درست با سؤال‌های درست")+COUNTIFS('تست کور'!$B$2:$B$101,A24,'تست کور'!$H$2:$H$101,"امتناع درست")</f>
        <v/>
      </c>
      <c r="E24" s="2">
        <f>COUNTIFS('تست کور'!$B$2:$B$101,A24,'تست کور'!$H$2:$H$101,"غلط")</f>
        <v/>
      </c>
      <c r="F24" s="2">
        <f>COUNTIFS('تست کور'!$B$2:$B$101,A24,'تست کور'!$I$2:$I$101,"بله")</f>
        <v/>
      </c>
      <c r="G24" s="7">
        <f>IF(C24=0,0,D24/C24)</f>
        <v/>
      </c>
    </row>
    <row r="25">
      <c r="A25" s="6" t="inlineStr">
        <is>
          <t>انتقال داخلی و تنخواه</t>
        </is>
      </c>
      <c r="B25" s="2">
        <f>COUNTIF('تست کور'!$B$2:$B$101,A25)</f>
        <v/>
      </c>
      <c r="C25" s="2">
        <f>COUNTIFS('تست کور'!$B$2:$B$101,A25,'تست کور'!$H$2:$H$101,"&lt;&gt;")</f>
        <v/>
      </c>
      <c r="D25" s="2">
        <f>COUNTIFS('تست کور'!$B$2:$B$101,A25,'تست کور'!$H$2:$H$101,"درست")+COUNTIFS('تست کور'!$B$2:$B$101,A25,'تست کور'!$H$2:$H$101,"درست با سؤال‌های درست")+COUNTIFS('تست کور'!$B$2:$B$101,A25,'تست کور'!$H$2:$H$101,"امتناع درست")</f>
        <v/>
      </c>
      <c r="E25" s="2">
        <f>COUNTIFS('تست کور'!$B$2:$B$101,A25,'تست کور'!$H$2:$H$101,"غلط")</f>
        <v/>
      </c>
      <c r="F25" s="2">
        <f>COUNTIFS('تست کور'!$B$2:$B$101,A25,'تست کور'!$I$2:$I$101,"بله")</f>
        <v/>
      </c>
      <c r="G25" s="7">
        <f>IF(C25=0,0,D25/C25)</f>
        <v/>
      </c>
    </row>
    <row r="26">
      <c r="A26" s="6" t="inlineStr">
        <is>
          <t>ابهام و چندمبلغی</t>
        </is>
      </c>
      <c r="B26" s="2">
        <f>COUNTIF('تست کور'!$B$2:$B$101,A26)</f>
        <v/>
      </c>
      <c r="C26" s="2">
        <f>COUNTIFS('تست کور'!$B$2:$B$101,A26,'تست کور'!$H$2:$H$101,"&lt;&gt;")</f>
        <v/>
      </c>
      <c r="D26" s="2">
        <f>COUNTIFS('تست کور'!$B$2:$B$101,A26,'تست کور'!$H$2:$H$101,"درست")+COUNTIFS('تست کور'!$B$2:$B$101,A26,'تست کور'!$H$2:$H$101,"درست با سؤال‌های درست")+COUNTIFS('تست کور'!$B$2:$B$101,A26,'تست کور'!$H$2:$H$101,"امتناع درست")</f>
        <v/>
      </c>
      <c r="E26" s="2">
        <f>COUNTIFS('تست کور'!$B$2:$B$101,A26,'تست کور'!$H$2:$H$101,"غلط")</f>
        <v/>
      </c>
      <c r="F26" s="2">
        <f>COUNTIFS('تست کور'!$B$2:$B$101,A26,'تست کور'!$I$2:$I$101,"بله")</f>
        <v/>
      </c>
      <c r="G26" s="7">
        <f>IF(C26=0,0,D26/C26)</f>
        <v/>
      </c>
    </row>
    <row r="27">
      <c r="A27" s="6" t="inlineStr">
        <is>
          <t>نباید ثبت شود</t>
        </is>
      </c>
      <c r="B27" s="2">
        <f>COUNTIF('تست کور'!$B$2:$B$101,A27)</f>
        <v/>
      </c>
      <c r="C27" s="2">
        <f>COUNTIFS('تست کور'!$B$2:$B$101,A27,'تست کور'!$H$2:$H$101,"&lt;&gt;")</f>
        <v/>
      </c>
      <c r="D27" s="2">
        <f>COUNTIFS('تست کور'!$B$2:$B$101,A27,'تست کور'!$H$2:$H$101,"درست")+COUNTIFS('تست کور'!$B$2:$B$101,A27,'تست کور'!$H$2:$H$101,"درست با سؤال‌های درست")+COUNTIFS('تست کور'!$B$2:$B$101,A27,'تست کور'!$H$2:$H$101,"امتناع درست")</f>
        <v/>
      </c>
      <c r="E27" s="2">
        <f>COUNTIFS('تست کور'!$B$2:$B$101,A27,'تست کور'!$H$2:$H$101,"غلط")</f>
        <v/>
      </c>
      <c r="F27" s="2">
        <f>COUNTIFS('تست کور'!$B$2:$B$101,A27,'تست کور'!$I$2:$I$101,"بله")</f>
        <v/>
      </c>
      <c r="G27" s="7">
        <f>IF(C27=0,0,D27/C27)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8" t="inlineStr">
        <is>
          <t>موضوع</t>
        </is>
      </c>
      <c r="B1" s="9" t="inlineStr">
        <is>
          <t>۱۰۰ تراکنش برای آزمون حالت AI روشن و «تحلیل کن» صف بررسی</t>
        </is>
      </c>
    </row>
    <row r="2">
      <c r="A2" s="9" t="inlineStr">
        <is>
          <t>واحد مبلغ</t>
        </is>
      </c>
      <c r="B2" s="10" t="inlineStr">
        <is>
          <t>همهٔ مبالغ به تومان</t>
        </is>
      </c>
    </row>
    <row r="3">
      <c r="A3" s="9" t="inlineStr">
        <is>
          <t>نسخه</t>
        </is>
      </c>
      <c r="B3" s="10" t="inlineStr">
        <is>
          <t>1405-07-29</t>
        </is>
      </c>
    </row>
    <row r="4">
      <c r="A4" s="9" t="inlineStr"/>
      <c r="B4" s="10" t="inlineStr"/>
    </row>
    <row r="5">
      <c r="A5" s="9" t="inlineStr">
        <is>
          <t>پیش از شروع</t>
        </is>
      </c>
      <c r="B5" s="9" t="inlineStr"/>
    </row>
    <row r="6">
      <c r="A6" s="9" t="inlineStr">
        <is>
          <t>۱.</t>
        </is>
      </c>
      <c r="B6" s="10" t="inlineStr">
        <is>
          <t>دفتر تازهٔ کسب‌وکار، تجربهٔ حرفه‌ای، کدینگ پیشنهادی نصب‌شده، حالت فهم با AI روشن.</t>
        </is>
      </c>
    </row>
    <row r="7">
      <c r="A7" s="9" t="inlineStr">
        <is>
          <t>۲.</t>
        </is>
      </c>
      <c r="B7" s="10" t="inlineStr">
        <is>
          <t>حساب‌ها: صندوق با افتتاحیهٔ ۱۰۰٬۰۰۰٬۰۰۰؛ جاری ملت ۵۰۰٬۰۰۰٬۰۰۰؛ جاری تجارت ۲۰۰٬۰۰۰٬۰۰۰؛ تنخواه رضا احمدی با ماندهٔ صفر.</t>
        </is>
      </c>
    </row>
    <row r="8">
      <c r="A8" s="9" t="inlineStr">
        <is>
          <t>۳.</t>
        </is>
      </c>
      <c r="B8" s="10" t="inlineStr">
        <is>
          <t>حد سرمایه‌ای شدن دارایی: ۲۰٬۰۰۰٬۰۰۰ تومان (از تنظیمات قانون ثبت خودکار).</t>
        </is>
      </c>
    </row>
    <row r="9">
      <c r="A9" s="9" t="inlineStr">
        <is>
          <t>۴.</t>
        </is>
      </c>
      <c r="B9" s="10" t="inlineStr">
        <is>
          <t>ارزش افزوده: دفتر مشمول، نرخ ۱۰٪.</t>
        </is>
      </c>
    </row>
    <row r="10">
      <c r="A10" s="9" t="inlineStr">
        <is>
          <t>۵.</t>
        </is>
      </c>
      <c r="B10" s="10" t="inlineStr">
        <is>
          <t>موارد را به ترتیب کد وارد کن؛ هر مورد «وابسته به» فقط بعد از پیش‌نیازش معنا دارد.</t>
        </is>
      </c>
    </row>
    <row r="11">
      <c r="A11" s="9" t="inlineStr">
        <is>
          <t>۶.</t>
        </is>
      </c>
      <c r="B11" s="10" t="inlineStr">
        <is>
          <t>جواب سؤال‌ها را دقیقاً از ستون «جواب‌هایی که بده» بده؛ چیزی اضافه نگو.</t>
        </is>
      </c>
    </row>
    <row r="12">
      <c r="A12" s="9" t="inlineStr"/>
      <c r="B12" s="10" t="inlineStr"/>
    </row>
    <row r="13">
      <c r="A13" s="9" t="inlineStr">
        <is>
          <t>مسیرها</t>
        </is>
      </c>
      <c r="B13" s="9" t="inlineStr"/>
    </row>
    <row r="14">
      <c r="A14" s="9" t="inlineStr">
        <is>
          <t>ثبت خودکار یا تأیید ساده</t>
        </is>
      </c>
      <c r="B14" s="10" t="inlineStr">
        <is>
          <t>سیستم خودش سند درست را می‌سازد یا فقط تأیید می‌خواهد.</t>
        </is>
      </c>
    </row>
    <row r="15">
      <c r="A15" s="9" t="inlineStr">
        <is>
          <t>کارت سؤال، بعد ثبت</t>
        </is>
      </c>
      <c r="B15" s="10" t="inlineStr">
        <is>
          <t>یک یا چند کارت سؤال می‌آید؛ جواب ستون «جواب‌هایی که بده» را بده، بعد سند باید با کلید یکی باشد.</t>
        </is>
      </c>
    </row>
    <row r="16">
      <c r="A16" s="9" t="inlineStr">
        <is>
          <t>صف حسابدار ← «تحلیل کن»</t>
        </is>
      </c>
      <c r="B16" s="10" t="inlineStr">
        <is>
          <t>مورد به صف حسابدار می‌رود؛ «تحلیل کن» را بزن، سؤال‌ها را جواب بده و سند را با کلید مقایسه کن.</t>
        </is>
      </c>
    </row>
    <row r="17">
      <c r="A17" s="9" t="inlineStr">
        <is>
          <t>امتناع درست — شکاف شناخته‌شدهٔ سیستم</t>
        </is>
      </c>
      <c r="B17" s="10" t="inlineStr">
        <is>
          <t>ثبت درست در کلید آمده، ولی سیستم فعلی این شکل را هنوز ثبت نمی‌کند؛ پیام صریح «هنوز پشتیبانی نمی‌شود» و نبودِ سند غلط یعنی «امتناع درست».</t>
        </is>
      </c>
    </row>
    <row r="18">
      <c r="A18" s="9" t="inlineStr">
        <is>
          <t>نباید هیچ سندی ثبت شود</t>
        </is>
      </c>
      <c r="B18" s="10" t="inlineStr">
        <is>
          <t>هیچ سندی نباید ساخته شود؛ هر سندی «غلط» است.</t>
        </is>
      </c>
    </row>
    <row r="19">
      <c r="A19" s="9" t="inlineStr"/>
      <c r="B19" s="10" t="inlineStr"/>
    </row>
    <row r="20">
      <c r="A20" s="9" t="inlineStr">
        <is>
          <t>نتیجه‌گذاری</t>
        </is>
      </c>
      <c r="B20" s="9" t="inlineStr"/>
    </row>
    <row r="21">
      <c r="A21" s="9" t="inlineStr">
        <is>
          <t>درست</t>
        </is>
      </c>
      <c r="B21" s="10" t="inlineStr">
        <is>
          <t>مسیر و سند (حساب‌ها، مبلغ‌ها، طرف‌حساب، نبودِ ردیف نقدی وقتی پولی جابه‌جا نشده) با کلید یکی است، بی سؤال اضافه.</t>
        </is>
      </c>
    </row>
    <row r="22">
      <c r="A22" s="9" t="inlineStr">
        <is>
          <t>درست با سؤال‌های درست</t>
        </is>
      </c>
      <c r="B22" s="10" t="inlineStr">
        <is>
          <t>سند درست است و فقط سؤال‌هایی پرسیده شد که واقعاً از متن درنمی‌آمد.</t>
        </is>
      </c>
    </row>
    <row r="23">
      <c r="A23" s="9" t="inlineStr">
        <is>
          <t>امتناع درست</t>
        </is>
      </c>
      <c r="B23" s="10" t="inlineStr">
        <is>
          <t>سیستم ثبت نکرد و دلیلش درست بود (شکاف شناخته‌شده، نبودِ سند مبنا، «نباید ثبت شود»).</t>
        </is>
      </c>
    </row>
    <row r="24">
      <c r="A24" s="9" t="inlineStr">
        <is>
          <t>غلط</t>
        </is>
      </c>
      <c r="B24" s="10" t="inlineStr">
        <is>
          <t>هر سند دیگر، سؤال دربارهٔ چیزی که متن گفته بود، یا ثبت چیزی که نباید ثبت می‌شد.</t>
        </is>
      </c>
    </row>
    <row r="25">
      <c r="A25" s="9" t="inlineStr">
        <is>
          <t>ثبت اشتباه با اطمینان</t>
        </is>
      </c>
      <c r="B25" s="10" t="inlineStr">
        <is>
          <t>«بله» یعنی سند غلط بی هیچ سؤال یا هشداری ثبت شد. آستانهٔ قبولش صفر است و مهم‌ترین عدد این آزمون است.</t>
        </is>
      </c>
    </row>
    <row r="26">
      <c r="A26" s="9" t="inlineStr"/>
      <c r="B26" s="10" t="inlineStr"/>
    </row>
    <row r="27">
      <c r="A27" s="9" t="inlineStr">
        <is>
          <t>خانه‌های پرکردنی</t>
        </is>
      </c>
      <c r="B27" s="9" t="inlineStr">
        <is>
          <t>فقط خانه‌های زرد برگهٔ «تست کور» را پر کن. برگهٔ «امتیاز» خودش حساب می‌شود.</t>
        </is>
      </c>
    </row>
    <row r="28">
      <c r="A28" s="9" t="inlineStr">
        <is>
          <t>نمونهٔ پرشده</t>
        </is>
      </c>
      <c r="B28" s="10" t="inlineStr">
        <is>
          <t>R003 · خروجی: «Dr قبوض ۱٬۲۰۰٬۰۰۰ / Cr جاری ملت ۱٬۲۰۰٬۰۰۰، بی سؤال» · نتیجه: درست · ثبت اشتباه با اطمینان: خیر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2026-10-21T06:28:22Z</dcterms:created>
  <dcterms:modified xsi:type="dcterms:W3CDTF">2026-10-21T06:28:22Z</dcterms:modified>
</cp:coreProperties>
</file>