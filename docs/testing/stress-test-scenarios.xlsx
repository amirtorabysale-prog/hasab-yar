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تست کور" sheetId="1" state="visible" r:id="rId1"/>
    <sheet name="کلید پاسخ کامل" sheetId="2" state="visible" r:id="rId2"/>
    <sheet name="نتایج تست و امتیازدهی" sheetId="3" state="visible" r:id="rId3"/>
    <sheet name="داشبورد خلاصه" sheetId="4" state="visible" r:id="rId4"/>
    <sheet name="راهنمای آزمو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00"/>
    <numFmt numFmtId="165" formatCode="0.0%"/>
    <numFmt numFmtId="166" formatCode="#,##0.0"/>
  </numFmts>
  <fonts count="14">
    <font>
      <name val="Arial"/>
      <color rgb="FF000000"/>
      <sz val="10"/>
      <scheme val="minor"/>
    </font>
    <font>
      <name val="Arial"/>
      <b val="1"/>
      <color rgb="FFFFFFFF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rgb="FFFFFFFF"/>
      <sz val="14"/>
      <scheme val="minor"/>
    </font>
    <font>
      <name val="Arial"/>
      <color rgb="FF254677"/>
      <sz val="10"/>
      <scheme val="minor"/>
    </font>
    <font>
      <name val="Arial"/>
      <b val="1"/>
      <color theme="1"/>
      <sz val="10"/>
      <scheme val="minor"/>
    </font>
    <font>
      <name val="Arial"/>
      <b val="1"/>
      <color rgb="FF1B365D"/>
      <sz val="20"/>
      <scheme val="minor"/>
    </font>
    <font>
      <name val="Arial"/>
      <color rgb="FF553D5C"/>
      <sz val="9"/>
      <scheme val="minor"/>
    </font>
    <font>
      <name val="Arial"/>
      <b val="1"/>
      <color rgb="FFFFFFFF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</font>
    <font>
      <name val="Arial"/>
    </font>
  </fonts>
  <fills count="8">
    <fill>
      <patternFill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D9E2F8"/>
        <bgColor rgb="FFD9E2F8"/>
      </patternFill>
    </fill>
    <fill>
      <patternFill patternType="solid">
        <fgColor rgb="FFECECF4"/>
        <bgColor rgb="FFECECF4"/>
      </patternFill>
    </fill>
    <fill>
      <patternFill patternType="solid">
        <fgColor rgb="FFF8F8FF"/>
        <bgColor rgb="FFF8F8FF"/>
      </patternFill>
    </fill>
    <fill>
      <patternFill patternType="solid">
        <fgColor rgb="FF254677"/>
        <bgColor rgb="FF254677"/>
      </patternFill>
    </fill>
    <fill>
      <patternFill patternType="solid">
        <fgColor rgb="001F3A5F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3" borderId="0" pivotButton="0" quotePrefix="0" xfId="0"/>
    <xf numFmtId="165" fontId="13" fillId="3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نرخ موفقیت و قبولی به تفکیک ۱۲ سرفصل حسابداری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'داشبورد خلاصه'!$E$9</f>
            </strRef>
          </tx>
          <spPr>
            <a:solidFill>
              <a:srgbClr val="1B365D"/>
            </a:solidFill>
            <a:ln cmpd="sng">
              <a:noFill/>
              <a:prstDash val="solid"/>
            </a:ln>
          </spPr>
          <cat>
            <strRef>
              <f>'داشبورد خلاصه'!$B$10:$B$21</f>
            </strRef>
          </cat>
          <val>
            <numRef>
              <f>'داشبورد خلاصه'!$E$10:$E$21</f>
              <numCache/>
            </numRef>
          </val>
        </ser>
        <gapWidth val="150"/>
        <axId val="1266402032"/>
        <axId val="1652627105"/>
      </barChart>
      <catAx>
        <axId val="1266402032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سرفصل حسابداری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52627105"/>
        <lblOffset val="100"/>
      </catAx>
      <valAx>
        <axId val="1652627105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نرخ قبولی (%)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66402032"/>
        <crosses val="max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توزیع فراوانی الگوهای خطای کشف‌شده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'داشبورد خلاصه'!$J$9</f>
            </strRef>
          </tx>
          <spPr>
            <a:solidFill>
              <a:srgbClr val="BF3333"/>
            </a:solidFill>
            <a:ln cmpd="sng">
              <a:noFill/>
              <a:prstDash val="solid"/>
            </a:ln>
          </spPr>
          <cat>
            <strRef>
              <f>'داشبورد خلاصه'!$I$10:$I$17</f>
            </strRef>
          </cat>
          <val>
            <numRef>
              <f>'داشبورد خلاصه'!$J$10:$J$17</f>
              <numCache/>
            </numRef>
          </val>
        </ser>
        <gapWidth val="150"/>
        <axId val="1603951714"/>
        <axId val="496242655"/>
      </barChart>
      <catAx>
        <axId val="1603951714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نوع خطا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96242655"/>
        <lblOffset val="100"/>
      </catAx>
      <valAx>
        <axId val="496242655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تعداد رخداد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03951714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95250</colOff>
      <row>23</row>
      <rowOff>95250</rowOff>
    </from>
    <ext cx="5905500" cy="342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7</col>
      <colOff>95250</colOff>
      <row>23</row>
      <rowOff>95250</rowOff>
    </from>
    <ext cx="5143500" cy="342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2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45" min="1" max="1"/>
    <col width="20.13" customWidth="1" style="45" min="2" max="2"/>
    <col width="12.63" customWidth="1" style="45" min="3" max="3"/>
    <col width="52.75" customWidth="1" style="45" min="4" max="4"/>
    <col width="20.13" customWidth="1" style="45" min="5" max="5"/>
    <col width="12.63" customWidth="1" style="45" min="6" max="6"/>
    <col width="21.38" customWidth="1" style="45" min="7" max="7"/>
    <col width="79.38" customWidth="1" style="45" min="8" max="8"/>
    <col width="20.13" customWidth="1" style="45" min="9" max="9"/>
    <col width="27.63" customWidth="1" style="45" min="10" max="10"/>
    <col width="31.38" customWidth="1" style="45" min="11" max="11"/>
    <col width="30" customWidth="1" style="45" min="12" max="12"/>
    <col width="24" customWidth="1" style="45" min="13" max="13"/>
  </cols>
  <sheetData>
    <row r="1" ht="31.5" customHeight="1" s="45">
      <c r="A1" s="1" t="inlineStr">
        <is>
          <t>کد سناریو</t>
        </is>
      </c>
      <c r="B1" s="1" t="inlineStr">
        <is>
          <t>سرفصل حسابداری (دسته)</t>
        </is>
      </c>
      <c r="C1" s="1" t="inlineStr">
        <is>
          <t>سطح دشواری</t>
        </is>
      </c>
      <c r="D1" s="1" t="inlineStr">
        <is>
          <t>متن سناریوی صوتی (Voice Transcript)</t>
        </is>
      </c>
      <c r="E1" s="1" t="inlineStr">
        <is>
          <t>نوع سناریو</t>
        </is>
      </c>
      <c r="F1" s="1" t="inlineStr">
        <is>
          <t>عمدی مبهم؟</t>
        </is>
      </c>
      <c r="G1" s="1" t="inlineStr">
        <is>
          <t>رفتار مورد انتظار سیستم</t>
        </is>
      </c>
      <c r="H1" s="1" t="inlineStr">
        <is>
          <t>خروجی / پاسخ ثبت‌شده حساب‌یار</t>
        </is>
      </c>
      <c r="I1" s="1" t="inlineStr">
        <is>
          <t>نتیجه ارزیابی حساب‌یار</t>
        </is>
      </c>
      <c r="J1" s="1" t="inlineStr">
        <is>
          <t>نوع خطای شناسایی‌شده</t>
        </is>
      </c>
      <c r="K1" s="1" t="inlineStr">
        <is>
          <t>توضیحات و یادداشت تستر</t>
        </is>
      </c>
      <c r="L1" s="46" t="inlineStr">
        <is>
          <t>در دامنهٔ فاز فعلی؟</t>
        </is>
      </c>
      <c r="M1" s="46" t="inlineStr">
        <is>
          <t>ثبت اشتباه با اطمینان؟</t>
        </is>
      </c>
    </row>
    <row r="2">
      <c r="A2" s="29" t="inlineStr">
        <is>
          <t>T001</t>
        </is>
      </c>
      <c r="B2" s="12" t="inlineStr">
        <is>
          <t>۱. پیش‌پرداخت، هزینه و دوره مالی</t>
        </is>
      </c>
      <c r="C2" s="12" t="inlineStr">
        <is>
          <t>آسان</t>
        </is>
      </c>
      <c r="D2" s="5" t="inlineStr">
        <is>
          <t>سلام حساب‌یار جان، امروز صب دوازده میلیون تومن از حساب سامان ریختم به حساب آقای اسدی بابت اجاره اردیبهشت ماه دفتر مرکزی، سندشو بزن.</t>
        </is>
      </c>
      <c r="E2" s="6" t="inlineStr">
        <is>
          <t>تک‌رویدادی</t>
        </is>
      </c>
      <c r="F2" s="6" t="inlineStr">
        <is>
          <t>خیر</t>
        </is>
      </c>
      <c r="G2" s="6" t="inlineStr">
        <is>
          <t>ثبت سند دوبل قطعی (هزینه اجاره / بانک سامان)</t>
        </is>
      </c>
      <c r="H2" s="11" t="n"/>
      <c r="I2" s="11" t="n"/>
      <c r="J2" s="11" t="n"/>
      <c r="K2" s="11" t="n"/>
      <c r="L2" t="inlineStr">
        <is>
          <t>تا حدی — پیش‌پرداخت قاعده دارد</t>
        </is>
      </c>
    </row>
    <row r="3">
      <c r="A3" s="29" t="inlineStr">
        <is>
          <t>T002</t>
        </is>
      </c>
      <c r="B3" s="12" t="inlineStr">
        <is>
          <t>۱. پیش‌پرداخت، هزینه و دوره مالی</t>
        </is>
      </c>
      <c r="C3" s="12" t="inlineStr">
        <is>
          <t>متوسط</t>
        </is>
      </c>
      <c r="D3" s="5" t="inlineStr">
        <is>
          <t>حساب‌یار، پنجاه میلیون زدم به حساب بیمه ایران واسه کل بیمه مسئولیت مدنی یک‌ساله شرکت، از اول فروردین تا آخر اسفند همین امسال.</t>
        </is>
      </c>
      <c r="E3" s="6" t="inlineStr">
        <is>
          <t>تک‌رویدادی</t>
        </is>
      </c>
      <c r="F3" s="6" t="inlineStr">
        <is>
          <t>خیر</t>
        </is>
      </c>
      <c r="G3" s="6" t="inlineStr">
        <is>
          <t>ثبت پیش‌پرداخت بیمه به عنوان دارایی جاری و مستهلک‌سازی ماهانه</t>
        </is>
      </c>
      <c r="H3" s="11" t="n"/>
      <c r="I3" s="11" t="n"/>
      <c r="J3" s="11" t="n"/>
      <c r="K3" s="11" t="n"/>
      <c r="L3" t="inlineStr">
        <is>
          <t>تا حدی — پیش‌پرداخت قاعده دارد</t>
        </is>
      </c>
    </row>
    <row r="4">
      <c r="A4" s="29" t="inlineStr">
        <is>
          <t>T003</t>
        </is>
      </c>
      <c r="B4" s="12" t="inlineStr">
        <is>
          <t>۱. پیش‌پرداخت، هزینه و دوره مالی</t>
        </is>
      </c>
      <c r="C4" s="12" t="inlineStr">
        <is>
          <t>سخت</t>
        </is>
      </c>
      <c r="D4" s="5" t="inlineStr">
        <is>
          <t>بیست میلیون دادم به موجر دفتر، ده تومنش مال کرایه عقب‌افتاده اسفند پارساله، ده تومنم علی‌الحساب مال فروردین و اردیبهشت امسال، از حساب ملی دادم.</t>
        </is>
      </c>
      <c r="E4" s="6" t="inlineStr">
        <is>
          <t>چندرویدادی مرکب</t>
        </is>
      </c>
      <c r="F4" s="6" t="inlineStr">
        <is>
          <t>خیر</t>
        </is>
      </c>
      <c r="G4" s="6" t="inlineStr">
        <is>
          <t>تفکیک بدهی سنواتی گذشته از پیش‌پرداخت اجاره دوره جاری</t>
        </is>
      </c>
      <c r="H4" s="11" t="n"/>
      <c r="I4" s="11" t="n"/>
      <c r="J4" s="11" t="n"/>
      <c r="K4" s="11" t="n"/>
      <c r="L4" t="inlineStr">
        <is>
          <t>تا حدی — پیش‌پرداخت قاعده دارد</t>
        </is>
      </c>
    </row>
    <row r="5">
      <c r="A5" s="29" t="inlineStr">
        <is>
          <t>T004</t>
        </is>
      </c>
      <c r="B5" s="12" t="inlineStr">
        <is>
          <t>۱. پیش‌پرداخت، هزینه و دوره مالی</t>
        </is>
      </c>
      <c r="C5" s="12" t="inlineStr">
        <is>
          <t>چالش‌برانگیز</t>
        </is>
      </c>
      <c r="D5" s="5" t="inlineStr">
        <is>
          <t>یه سی تومن ریختم واسه چاپخونه ولی نمیدونم کاتالوگ شرکتو قراره بعد عید بیاره یا فاکتورشو باطل کرده، فعلا تو حسابت باشه تا بعد!</t>
        </is>
      </c>
      <c r="E5" s="6" t="inlineStr">
        <is>
          <t>ابهام نیازمند سؤال</t>
        </is>
      </c>
      <c r="F5" s="6" t="inlineStr">
        <is>
          <t>بله</t>
        </is>
      </c>
      <c r="G5" s="6" t="inlineStr">
        <is>
          <t>طرح سؤال تکمیلی شفاف‌سازی و ثبت در پیش‌پرداخت نامشخص</t>
        </is>
      </c>
      <c r="H5" s="11" t="n"/>
      <c r="I5" s="11" t="n"/>
      <c r="J5" s="11" t="n"/>
      <c r="K5" s="11" t="n"/>
      <c r="L5" t="inlineStr">
        <is>
          <t>تا حدی — پیش‌پرداخت قاعده دارد</t>
        </is>
      </c>
    </row>
    <row r="6">
      <c r="A6" s="29" t="inlineStr">
        <is>
          <t>T005</t>
        </is>
      </c>
      <c r="B6" s="12" t="inlineStr">
        <is>
          <t>۱. پیش‌پرداخت، هزینه و دوره مالی</t>
        </is>
      </c>
      <c r="C6" s="12" t="inlineStr">
        <is>
          <t>متوسط</t>
        </is>
      </c>
      <c r="D6" s="5" t="inlineStr">
        <is>
          <t>هزینه پذیرایی جلسه هیئت مدیره شد سه میلیون و چهارصد، آقای حسینی از جیب خودش کارت کشیده، طلبکارش کنین لطفا.</t>
        </is>
      </c>
      <c r="E6" s="6" t="inlineStr">
        <is>
          <t>تک‌رویدادی</t>
        </is>
      </c>
      <c r="F6" s="6" t="inlineStr">
        <is>
          <t>خیر</t>
        </is>
      </c>
      <c r="G6" s="6" t="inlineStr">
        <is>
          <t>ثبت هزینه پذیرایی و اداری به بستانکاری جاری شرکا / آقای حسینی</t>
        </is>
      </c>
      <c r="H6" s="11" t="n"/>
      <c r="I6" s="11" t="n"/>
      <c r="J6" s="11" t="n"/>
      <c r="K6" s="11" t="n"/>
      <c r="L6" t="inlineStr">
        <is>
          <t>تا حدی — پیش‌پرداخت قاعده دارد</t>
        </is>
      </c>
    </row>
    <row r="7">
      <c r="A7" s="29" t="inlineStr">
        <is>
          <t>T006</t>
        </is>
      </c>
      <c r="B7" s="12" t="inlineStr">
        <is>
          <t>۱. پیش‌پرداخت، هزینه و دوره مالی</t>
        </is>
      </c>
      <c r="C7" s="12" t="inlineStr">
        <is>
          <t>سخت</t>
        </is>
      </c>
      <c r="D7" s="5" t="inlineStr">
        <is>
          <t>صد و بیست میلیون پیش‌پیش ریختیم حساب کارخونه فولاد مبارکه واسه خرید ورق، هنوز هیچی فاکتور نکرده و بار نرسیده.</t>
        </is>
      </c>
      <c r="E7" s="6" t="inlineStr">
        <is>
          <t>تک‌رویدادی</t>
        </is>
      </c>
      <c r="F7" s="6" t="inlineStr">
        <is>
          <t>خیر</t>
        </is>
      </c>
      <c r="G7" s="6" t="inlineStr">
        <is>
          <t>ثبت پیش‌پرداخت خرید کالا تجاری / بانک (نه هزینه خرید کالا)</t>
        </is>
      </c>
      <c r="H7" s="11" t="n"/>
      <c r="I7" s="11" t="n"/>
      <c r="J7" s="11" t="n"/>
      <c r="K7" s="11" t="n"/>
      <c r="L7" t="inlineStr">
        <is>
          <t>تا حدی — پیش‌پرداخت قاعده دارد</t>
        </is>
      </c>
    </row>
    <row r="8">
      <c r="A8" s="29" t="inlineStr">
        <is>
          <t>T007</t>
        </is>
      </c>
      <c r="B8" s="12" t="inlineStr">
        <is>
          <t>۱. پیش‌پرداخت، هزینه و دوره مالی</t>
        </is>
      </c>
      <c r="C8" s="12" t="inlineStr">
        <is>
          <t>چالش‌برانگیز</t>
        </is>
      </c>
      <c r="D8" s="5" t="inlineStr">
        <is>
          <t>یه پنج تومن دادم به نظافتچی راهروها، رسیدم نگرفتم، فاکتورم که ندارن، همینو یه جوری ثبت کن تو سیستم بره پی کارش.</t>
        </is>
      </c>
      <c r="E8" s="6" t="inlineStr">
        <is>
          <t>ابهام نیازمند سؤال</t>
        </is>
      </c>
      <c r="F8" s="6" t="inlineStr">
        <is>
          <t>بله</t>
        </is>
      </c>
      <c r="G8" s="6" t="inlineStr">
        <is>
          <t>هشدار نبود مدارک مثبته و تفکیک هزینه قانونی از غیرقابل‌قبول مالیاتی</t>
        </is>
      </c>
      <c r="H8" s="11" t="n"/>
      <c r="I8" s="11" t="n"/>
      <c r="J8" s="11" t="n"/>
      <c r="K8" s="11" t="n"/>
      <c r="L8" t="inlineStr">
        <is>
          <t>تا حدی — پیش‌پرداخت قاعده دارد</t>
        </is>
      </c>
    </row>
    <row r="9">
      <c r="A9" s="29" t="inlineStr">
        <is>
          <t>T008</t>
        </is>
      </c>
      <c r="B9" s="12" t="inlineStr">
        <is>
          <t>۱. پیش‌پرداخت، هزینه و دوره مالی</t>
        </is>
      </c>
      <c r="C9" s="12" t="inlineStr">
        <is>
          <t>متوسط</t>
        </is>
      </c>
      <c r="D9" s="5" t="inlineStr">
        <is>
          <t>قبض برق و گاز کارگاه اومده روی هم نه میلیون تومن، موعد پرداختش هفته بعده ولی الان فاکتورش اومده، چیکارش کنیم؟</t>
        </is>
      </c>
      <c r="E9" s="6" t="inlineStr">
        <is>
          <t>تک‌رویدادی</t>
        </is>
      </c>
      <c r="F9" s="6" t="inlineStr">
        <is>
          <t>خیر</t>
        </is>
      </c>
      <c r="G9" s="6" t="inlineStr">
        <is>
          <t>شناسایی بدهی جاری و هزینه قبوض بر مبنای تعهدی (پیش از پرداخت)</t>
        </is>
      </c>
      <c r="H9" s="11" t="n"/>
      <c r="I9" s="11" t="n"/>
      <c r="J9" s="11" t="n"/>
      <c r="K9" s="11" t="n"/>
      <c r="L9" t="inlineStr">
        <is>
          <t>تا حدی — پیش‌پرداخت قاعده دارد</t>
        </is>
      </c>
    </row>
    <row r="10">
      <c r="A10" s="29" t="inlineStr">
        <is>
          <t>T009</t>
        </is>
      </c>
      <c r="B10" s="12" t="inlineStr">
        <is>
          <t>۱. پیش‌پرداخت، هزینه و دوره مالی</t>
        </is>
      </c>
      <c r="C10" s="12" t="inlineStr">
        <is>
          <t>سخت</t>
        </is>
      </c>
      <c r="D10" s="5" t="inlineStr">
        <is>
          <t>پونزده میلیون شارژ ساختمان اداری رو برای شش ماه جلوتر با چک نقدی تسویه کردم، چک هم پاس شد.</t>
        </is>
      </c>
      <c r="E10" s="6" t="inlineStr">
        <is>
          <t>تک‌رویدادی</t>
        </is>
      </c>
      <c r="F10" s="6" t="inlineStr">
        <is>
          <t>خیر</t>
        </is>
      </c>
      <c r="G10" s="6" t="inlineStr">
        <is>
          <t>تفکیک هزینه جاری دوره از پیش‌پرداخت ماه‌های آتی شارژ اداری</t>
        </is>
      </c>
      <c r="H10" s="11" t="n"/>
      <c r="I10" s="11" t="n"/>
      <c r="J10" s="11" t="n"/>
      <c r="K10" s="11" t="n"/>
      <c r="L10" t="inlineStr">
        <is>
          <t>تا حدی — پیش‌پرداخت قاعده دارد</t>
        </is>
      </c>
    </row>
    <row r="11">
      <c r="A11" s="29" t="inlineStr">
        <is>
          <t>T010</t>
        </is>
      </c>
      <c r="B11" s="12" t="inlineStr">
        <is>
          <t>۱. پیش‌پرداخت، هزینه و دوره مالی</t>
        </is>
      </c>
      <c r="C11" s="12" t="inlineStr">
        <is>
          <t>چالش‌برانگیز</t>
        </is>
      </c>
      <c r="D11" s="5" t="inlineStr">
        <is>
          <t>امروز هفت میلیون هزینه کردیم، بعدا بهت میگم چی بود فقط تو سیستم تراز بخوره به هم نریزه!</t>
        </is>
      </c>
      <c r="E11" s="6" t="inlineStr">
        <is>
          <t>ابهام غیرقابل ثبت</t>
        </is>
      </c>
      <c r="F11" s="6" t="inlineStr">
        <is>
          <t>بله</t>
        </is>
      </c>
      <c r="G11" s="6" t="inlineStr">
        <is>
          <t>رد قطعی ثبت سند به علت فقدان سررفصل، طرف حساب و مدرک مالی</t>
        </is>
      </c>
      <c r="H11" s="11" t="n"/>
      <c r="I11" s="11" t="n"/>
      <c r="J11" s="11" t="n"/>
      <c r="K11" s="11" t="n"/>
      <c r="L11" t="inlineStr">
        <is>
          <t>تا حدی — پیش‌پرداخت قاعده دارد</t>
        </is>
      </c>
    </row>
    <row r="12">
      <c r="A12" s="29" t="inlineStr">
        <is>
          <t>T011</t>
        </is>
      </c>
      <c r="B12" s="12" t="inlineStr">
        <is>
          <t>۲. دارایی ثابت، استهلاک و مخارج سرمایه‌ای</t>
        </is>
      </c>
      <c r="C12" s="12" t="inlineStr">
        <is>
          <t>متوسط</t>
        </is>
      </c>
      <c r="D12" s="5" t="inlineStr">
        <is>
          <t>یه دستگاه لپ‌تاپ ایسوس خریدیم واسه گرافیست شرکت به مبلغ چهل و هشت میلیون تومن، نقدی از حساب تجارت پرداخت شد.</t>
        </is>
      </c>
      <c r="E12" s="6" t="inlineStr">
        <is>
          <t>تک‌رویدادی</t>
        </is>
      </c>
      <c r="F12" s="6" t="inlineStr">
        <is>
          <t>خیر</t>
        </is>
      </c>
      <c r="G12" s="6" t="inlineStr">
        <is>
          <t>ثبت دارایی ثابت مشهود (اثاثه و تجهیزات رایانه‌ای) و کاهش بانک</t>
        </is>
      </c>
      <c r="H12" s="11" t="n"/>
      <c r="I12" s="11" t="n"/>
      <c r="J12" s="11" t="n"/>
      <c r="K12" s="11" t="n"/>
      <c r="L12" t="inlineStr">
        <is>
          <t>خیر — قاعده‌اش ساخته نشده</t>
        </is>
      </c>
    </row>
    <row r="13">
      <c r="A13" s="29" t="inlineStr">
        <is>
          <t>T012</t>
        </is>
      </c>
      <c r="B13" s="12" t="inlineStr">
        <is>
          <t>۲. دارایی ثابت، استهلاک و مخارج سرمایه‌ای</t>
        </is>
      </c>
      <c r="C13" s="12" t="inlineStr">
        <is>
          <t>سخت</t>
        </is>
      </c>
      <c r="D13" s="5" t="inlineStr">
        <is>
          <t>سیصد و پنجاه میلیون تومن دادیم خط تولید کارگاه رو اساسی اورهال کردن، قطعات موتور عوض شد و ظرفیت تولید دو برابر شد.</t>
        </is>
      </c>
      <c r="E13" s="6" t="inlineStr">
        <is>
          <t>تک‌رویدادی</t>
        </is>
      </c>
      <c r="F13" s="6" t="inlineStr">
        <is>
          <t>خیر</t>
        </is>
      </c>
      <c r="G13" s="6" t="inlineStr">
        <is>
          <t>ثبت مخارج سرمایه‌ای و افزایش ارزش دفتری ماشین‌آلات (نه هزینه جاری)</t>
        </is>
      </c>
      <c r="H13" s="11" t="n"/>
      <c r="I13" s="11" t="n"/>
      <c r="J13" s="11" t="n"/>
      <c r="K13" s="11" t="n"/>
      <c r="L13" t="inlineStr">
        <is>
          <t>خیر — قاعده‌اش ساخته نشده</t>
        </is>
      </c>
    </row>
    <row r="14">
      <c r="A14" s="29" t="inlineStr">
        <is>
          <t>T013</t>
        </is>
      </c>
      <c r="B14" s="12" t="inlineStr">
        <is>
          <t>۲. دارایی ثابت، استهلاک و مخارج سرمایه‌ای</t>
        </is>
      </c>
      <c r="C14" s="12" t="inlineStr">
        <is>
          <t>چالش‌برانگیز</t>
        </is>
      </c>
      <c r="D14" s="5" t="inlineStr">
        <is>
          <t>ماشین شرکت رفته تعمیرگاه، هشتصد هزار تومن روغن عوض کردن، هشتاد میلیونم سیلندر موتور رو تعویض اساسی کردن، همه تو یه فاکتوره.</t>
        </is>
      </c>
      <c r="E14" s="6" t="inlineStr">
        <is>
          <t>چندرویدادی مرکب</t>
        </is>
      </c>
      <c r="F14" s="6" t="inlineStr">
        <is>
          <t>خیر</t>
        </is>
      </c>
      <c r="G14" s="6" t="inlineStr">
        <is>
          <t>تفکیک هزینه نگهداری جاری (روغن) از مخارج سرمایه‌ای دارایی ثابت</t>
        </is>
      </c>
      <c r="H14" s="11" t="n"/>
      <c r="I14" s="11" t="n"/>
      <c r="J14" s="11" t="n"/>
      <c r="K14" s="11" t="n"/>
      <c r="L14" t="inlineStr">
        <is>
          <t>خیر — قاعده‌اش ساخته نشده</t>
        </is>
      </c>
    </row>
    <row r="15">
      <c r="A15" s="29" t="inlineStr">
        <is>
          <t>T014</t>
        </is>
      </c>
      <c r="B15" s="12" t="inlineStr">
        <is>
          <t>۲. دارایی ثابت، استهلاک و مخارج سرمایه‌ای</t>
        </is>
      </c>
      <c r="C15" s="12" t="inlineStr">
        <is>
          <t>آسان</t>
        </is>
      </c>
      <c r="D15" s="5" t="inlineStr">
        <is>
          <t>استهلاک ماهانه ماشین‌آلات کارخانه طبق جدول استهلاک شد بیست و دو میلیون تومن، سند پایان ماهو صادر کن.</t>
        </is>
      </c>
      <c r="E15" s="6" t="inlineStr">
        <is>
          <t>تک‌رویدادی</t>
        </is>
      </c>
      <c r="F15" s="6" t="inlineStr">
        <is>
          <t>خیر</t>
        </is>
      </c>
      <c r="G15" s="6" t="inlineStr">
        <is>
          <t>بدهکار هزینه استهلاک و بستانکار استهلاک انباشته ماشین‌آلات</t>
        </is>
      </c>
      <c r="H15" s="11" t="n"/>
      <c r="I15" s="11" t="n"/>
      <c r="J15" s="11" t="n"/>
      <c r="K15" s="11" t="n"/>
      <c r="L15" t="inlineStr">
        <is>
          <t>خیر — قاعده‌اش ساخته نشده</t>
        </is>
      </c>
    </row>
    <row r="16">
      <c r="A16" s="29" t="inlineStr">
        <is>
          <t>T015</t>
        </is>
      </c>
      <c r="B16" s="12" t="inlineStr">
        <is>
          <t>۲. دارایی ثابت، استهلاک و مخارج سرمایه‌ای</t>
        </is>
      </c>
      <c r="C16" s="12" t="inlineStr">
        <is>
          <t>سخت</t>
        </is>
      </c>
      <c r="D16" s="5" t="inlineStr">
        <is>
          <t>وانت نیسان شرکت که قیمت دفتریش چهل میلیون بود رو فروختیم صد و ده میلیون نقد، پول نشست تو حساب پاسارگاد.</t>
        </is>
      </c>
      <c r="E16" s="6" t="inlineStr">
        <is>
          <t>چندرویدادی مرکب</t>
        </is>
      </c>
      <c r="F16" s="6" t="inlineStr">
        <is>
          <t>خیر</t>
        </is>
      </c>
      <c r="G16" s="6" t="inlineStr">
        <is>
          <t>خروج دارایی ثابت، بستن استهلاک و شناسایی سود حاصل از فروش دارایی</t>
        </is>
      </c>
      <c r="H16" s="11" t="n"/>
      <c r="I16" s="11" t="n"/>
      <c r="J16" s="11" t="n"/>
      <c r="K16" s="11" t="n"/>
      <c r="L16" t="inlineStr">
        <is>
          <t>خیر — قاعده‌اش ساخته نشده</t>
        </is>
      </c>
    </row>
    <row r="17">
      <c r="A17" s="29" t="inlineStr">
        <is>
          <t>T016</t>
        </is>
      </c>
      <c r="B17" s="12" t="inlineStr">
        <is>
          <t>۲. دارایی ثابت، استهلاک و مخارج سرمایه‌ای</t>
        </is>
      </c>
      <c r="C17" s="12" t="inlineStr">
        <is>
          <t>چالش‌برانگیز</t>
        </is>
      </c>
      <c r="D17" s="5" t="inlineStr">
        <is>
          <t>یه زمین توی شهرک صنعتی دیدیم، بیست میلیون بیعانه دادم به بنگاهی که نگهش داره، هنوز معامله قطعی نشده و سند نخورده.</t>
        </is>
      </c>
      <c r="E17" s="6" t="inlineStr">
        <is>
          <t>ابهام نیازمند سؤال</t>
        </is>
      </c>
      <c r="F17" s="6" t="inlineStr">
        <is>
          <t>بله</t>
        </is>
      </c>
      <c r="G17" s="6" t="inlineStr">
        <is>
          <t>ثبت پیش‌پرداخت خرید زمین مشروط به سؤال جهت تعیین شرایط انصراف</t>
        </is>
      </c>
      <c r="H17" s="11" t="n"/>
      <c r="I17" s="11" t="n"/>
      <c r="J17" s="11" t="n"/>
      <c r="K17" s="11" t="n"/>
      <c r="L17" t="inlineStr">
        <is>
          <t>خیر — قاعده‌اش ساخته نشده</t>
        </is>
      </c>
    </row>
    <row r="18">
      <c r="A18" s="29" t="inlineStr">
        <is>
          <t>T017</t>
        </is>
      </c>
      <c r="B18" s="12" t="inlineStr">
        <is>
          <t>۲. دارایی ثابت، استهلاک و مخارج سرمایه‌ای</t>
        </is>
      </c>
      <c r="C18" s="12" t="inlineStr">
        <is>
          <t>متوسط</t>
        </is>
      </c>
      <c r="D18" s="5" t="inlineStr">
        <is>
          <t>پنج تا صندلی مدیریتی و میز کنفرانس گرفتیم مجموعاً هفتاد و پنج میلیون تومن نسیه دو ماهه از شرکت مبلمان اداری البرز.</t>
        </is>
      </c>
      <c r="E18" s="6" t="inlineStr">
        <is>
          <t>تک‌رویدادی</t>
        </is>
      </c>
      <c r="F18" s="6" t="inlineStr">
        <is>
          <t>خیر</t>
        </is>
      </c>
      <c r="G18" s="6" t="inlineStr">
        <is>
          <t>ثبت اثاثه اداری در بدهکار و حساب‌های پرداختنی تجاری در بستانکار</t>
        </is>
      </c>
      <c r="H18" s="11" t="n"/>
      <c r="I18" s="11" t="n"/>
      <c r="J18" s="11" t="n"/>
      <c r="K18" s="11" t="n"/>
      <c r="L18" t="inlineStr">
        <is>
          <t>خیر — قاعده‌اش ساخته نشده</t>
        </is>
      </c>
    </row>
    <row r="19">
      <c r="A19" s="29" t="inlineStr">
        <is>
          <t>T018</t>
        </is>
      </c>
      <c r="B19" s="12" t="inlineStr">
        <is>
          <t>۲. دارایی ثابت، استهلاک و مخارج سرمایه‌ای</t>
        </is>
      </c>
      <c r="C19" s="12" t="inlineStr">
        <is>
          <t>سخت</t>
        </is>
      </c>
      <c r="D19" s="5" t="inlineStr">
        <is>
          <t>یه دستگاه پرینتر سوخته بود، اسقاطش کردیم و دادیم ضایعاتی سه میلیون نقد داد، ارزش ثبت شدش پونزده میلیون بوده.</t>
        </is>
      </c>
      <c r="E19" s="6" t="inlineStr">
        <is>
          <t>چندرویدادی مرکب</t>
        </is>
      </c>
      <c r="F19" s="6" t="inlineStr">
        <is>
          <t>خیر</t>
        </is>
      </c>
      <c r="G19" s="6" t="inlineStr">
        <is>
          <t>خروج دارایی از سرفصل اموال و شناسایی زیان ناشی از کنارگذاری دارایی</t>
        </is>
      </c>
      <c r="H19" s="11" t="n"/>
      <c r="I19" s="11" t="n"/>
      <c r="J19" s="11" t="n"/>
      <c r="K19" s="11" t="n"/>
      <c r="L19" t="inlineStr">
        <is>
          <t>خیر — قاعده‌اش ساخته نشده</t>
        </is>
      </c>
    </row>
    <row r="20">
      <c r="A20" s="29" t="inlineStr">
        <is>
          <t>T019</t>
        </is>
      </c>
      <c r="B20" s="12" t="inlineStr">
        <is>
          <t>۲. دارایی ثابت، استهلاک و مخارج سرمایه‌ای</t>
        </is>
      </c>
      <c r="C20" s="12" t="inlineStr">
        <is>
          <t>چالش‌برانگیز</t>
        </is>
      </c>
      <c r="D20" s="5" t="inlineStr">
        <is>
          <t>صد میلیون دادیم به پیمانکار سوله جدید بسازه تو حیاط، هنوز تموم نشده و تحویل موقتم نگرفتیم، پول رفته از حساب سپه.</t>
        </is>
      </c>
      <c r="E20" s="6" t="inlineStr">
        <is>
          <t>تک‌رویدادی</t>
        </is>
      </c>
      <c r="F20" s="6" t="inlineStr">
        <is>
          <t>خیر</t>
        </is>
      </c>
      <c r="G20" s="6" t="inlineStr">
        <is>
          <t>ثبت دارایی در جریان تکمیل (سرفصل دارایی در دست ساخت)</t>
        </is>
      </c>
      <c r="H20" s="11" t="n"/>
      <c r="I20" s="11" t="n"/>
      <c r="J20" s="11" t="n"/>
      <c r="K20" s="11" t="n"/>
      <c r="L20" t="inlineStr">
        <is>
          <t>خیر — قاعده‌اش ساخته نشده</t>
        </is>
      </c>
    </row>
    <row r="21">
      <c r="A21" s="29" t="inlineStr">
        <is>
          <t>T020</t>
        </is>
      </c>
      <c r="B21" s="12" t="inlineStr">
        <is>
          <t>۲. دارایی ثابت، استهلاک و مخارج سرمایه‌ای</t>
        </is>
      </c>
      <c r="C21" s="12" t="inlineStr">
        <is>
          <t>چالش‌برانگیز</t>
        </is>
      </c>
      <c r="D21" s="5" t="inlineStr">
        <is>
          <t>یه وسیله واسه انبار خریدم شصت میلیون، نمیدونم ابزار مصرفیه یا دستگاه حساب میشه، خودت بزن بره دیگه!</t>
        </is>
      </c>
      <c r="E21" s="6" t="inlineStr">
        <is>
          <t>ابهام نیازمند سؤال</t>
        </is>
      </c>
      <c r="F21" s="6" t="inlineStr">
        <is>
          <t>بله</t>
        </is>
      </c>
      <c r="G21" s="6" t="inlineStr">
        <is>
          <t>طرح سؤال تکمیلی برای مشخص کردن طول عمر مفید و آستانه شناخت دارایی</t>
        </is>
      </c>
      <c r="H21" s="11" t="n"/>
      <c r="I21" s="11" t="n"/>
      <c r="J21" s="11" t="n"/>
      <c r="K21" s="11" t="n"/>
      <c r="L21" t="inlineStr">
        <is>
          <t>خیر — قاعده‌اش ساخته نشده</t>
        </is>
      </c>
    </row>
    <row r="22">
      <c r="A22" s="29" t="inlineStr">
        <is>
          <t>T021</t>
        </is>
      </c>
      <c r="B22" s="12" t="inlineStr">
        <is>
          <t>۳. موجودی کالا، انبار و خرید و فروش</t>
        </is>
      </c>
      <c r="C22" s="12" t="inlineStr">
        <is>
          <t>آسان</t>
        </is>
      </c>
      <c r="D22" s="5" t="inlineStr">
        <is>
          <t>دویست تا کارتن قطعه الکترونیکی از شرکت پارس الکتریک خریدیم، دونه‌ای پانصد هزار تومن، فاکتور رسمی نقدی تسویه شد.</t>
        </is>
      </c>
      <c r="E22" s="6" t="inlineStr">
        <is>
          <t>تک‌رویدادی</t>
        </is>
      </c>
      <c r="F22" s="6" t="inlineStr">
        <is>
          <t>خیر</t>
        </is>
      </c>
      <c r="G22" s="6" t="inlineStr">
        <is>
          <t>ثبت خرید موجودی مواد و کالا و خروج نقدینگی از حساب بانک</t>
        </is>
      </c>
      <c r="I22" s="11" t="n"/>
      <c r="J22" s="11" t="n"/>
      <c r="L22" t="inlineStr">
        <is>
          <t>خیر — قاعده‌اش ساخته نشده</t>
        </is>
      </c>
    </row>
    <row r="23">
      <c r="A23" s="29" t="inlineStr">
        <is>
          <t>T022</t>
        </is>
      </c>
      <c r="B23" s="12" t="inlineStr">
        <is>
          <t>۳. موجودی کالا، انبار و خرید و فروش</t>
        </is>
      </c>
      <c r="C23" s="12" t="inlineStr">
        <is>
          <t>متوسط</t>
        </is>
      </c>
      <c r="D23" s="5" t="inlineStr">
        <is>
          <t>پنجاه تا جعبه از کالاهای تحویلی دیروز معیوب بود، پس فرستادیم به تامین‌کننده، اونا هم برامون اعلامیه بستانکاری بیست و پنج میلیونی زدن.</t>
        </is>
      </c>
      <c r="E23" s="6" t="inlineStr">
        <is>
          <t>تک‌رویدادی</t>
        </is>
      </c>
      <c r="F23" s="6" t="inlineStr">
        <is>
          <t>خیر</t>
        </is>
      </c>
      <c r="G23" s="6" t="inlineStr">
        <is>
          <t>ثبت برگشت از خرید و کاهش حساب پرداختنی تامین‌کننده کالا</t>
        </is>
      </c>
      <c r="I23" s="11" t="n"/>
      <c r="J23" s="11" t="n"/>
      <c r="L23" t="inlineStr">
        <is>
          <t>خیر — قاعده‌اش ساخته نشده</t>
        </is>
      </c>
    </row>
    <row r="24">
      <c r="A24" s="29" t="inlineStr">
        <is>
          <t>T023</t>
        </is>
      </c>
      <c r="B24" s="12" t="inlineStr">
        <is>
          <t>۳. موجودی کالا، انبار و خرید و فروش</t>
        </is>
      </c>
      <c r="C24" s="12" t="inlineStr">
        <is>
          <t>سخت</t>
        </is>
      </c>
      <c r="D24" s="5" t="inlineStr">
        <is>
          <t>فروش داشتیم به فروشگاه رضوی، جمع فاکتور هشتاد میلیون شد، پنج میلیون تخفیف تجاری دادیم، مانده رو چک ۴۵ روزه دادن.</t>
        </is>
      </c>
      <c r="E24" s="6" t="inlineStr">
        <is>
          <t>چندرویدادی مرکب</t>
        </is>
      </c>
      <c r="F24" s="6" t="inlineStr">
        <is>
          <t>خیر</t>
        </is>
      </c>
      <c r="G24" s="6" t="inlineStr">
        <is>
          <t>ثبت خالص فروش ۷۵ میلیون، تخفیف پای معامله و اسناد دریافتنی تجاری</t>
        </is>
      </c>
      <c r="I24" s="11" t="n"/>
      <c r="J24" s="11" t="n"/>
      <c r="L24" t="inlineStr">
        <is>
          <t>خیر — قاعده‌اش ساخته نشده</t>
        </is>
      </c>
    </row>
    <row r="25">
      <c r="A25" s="29" t="inlineStr">
        <is>
          <t>T024</t>
        </is>
      </c>
      <c r="B25" s="12" t="inlineStr">
        <is>
          <t>۳. موجودی کالا، انبار و خرید و فروش</t>
        </is>
      </c>
      <c r="C25" s="12" t="inlineStr">
        <is>
          <t>چالش‌برانگیز</t>
        </is>
      </c>
      <c r="D25" s="5" t="inlineStr">
        <is>
          <t>توی انبارگردانی پایان دوره، معلوم شد سی تا کیسه مواد اولیه کم داریم، حدود پانزده میلیون تومنه، دزدی شده یا فاسد شده نمیدونیم.</t>
        </is>
      </c>
      <c r="E25" s="6" t="inlineStr">
        <is>
          <t>ابهام نیازمند سؤال</t>
        </is>
      </c>
      <c r="F25" s="6" t="inlineStr">
        <is>
          <t>بله</t>
        </is>
      </c>
      <c r="G25" s="6" t="inlineStr">
        <is>
          <t>شناسایی کسر انبار موقت و طرح سؤال جهت تعیین علت و مسئول انبار</t>
        </is>
      </c>
      <c r="I25" s="11" t="n"/>
      <c r="J25" s="11" t="n"/>
      <c r="L25" t="inlineStr">
        <is>
          <t>خیر — قاعده‌اش ساخته نشده</t>
        </is>
      </c>
    </row>
    <row r="26">
      <c r="A26" s="29" t="inlineStr">
        <is>
          <t>T025</t>
        </is>
      </c>
      <c r="B26" s="12" t="inlineStr">
        <is>
          <t>۳. موجودی کالا، انبار و خرید و فروش</t>
        </is>
      </c>
      <c r="C26" s="12" t="inlineStr">
        <is>
          <t>متوسط</t>
        </is>
      </c>
      <c r="D26" s="5" t="inlineStr">
        <is>
          <t>چهارصد میلیون کالا فروختیم به پخش تهران، ده درصد ارزش افزوده هم اضافه شد، نصفشو کارت کشیدن بقیه‌اش نسیه یک‌ماهه.</t>
        </is>
      </c>
      <c r="E26" s="6" t="inlineStr">
        <is>
          <t>چندرویدادی مرکب</t>
        </is>
      </c>
      <c r="F26" s="6" t="inlineStr">
        <is>
          <t>خیر</t>
        </is>
      </c>
      <c r="G26" s="6" t="inlineStr">
        <is>
          <t>تفکیک درآمد فروش، مالیات ارزش افزوده، وجه نقد دریافتی و حساب دریافتنی</t>
        </is>
      </c>
      <c r="I26" s="11" t="n"/>
      <c r="J26" s="11" t="n"/>
      <c r="L26" t="inlineStr">
        <is>
          <t>خیر — قاعده‌اش ساخته نشده</t>
        </is>
      </c>
    </row>
    <row r="27">
      <c r="A27" s="29" t="inlineStr">
        <is>
          <t>T026</t>
        </is>
      </c>
      <c r="B27" s="12" t="inlineStr">
        <is>
          <t>۳. موجودی کالا، انبار و خرید و فروش</t>
        </is>
      </c>
      <c r="C27" s="12" t="inlineStr">
        <is>
          <t>سخت</t>
        </is>
      </c>
      <c r="D27" s="5" t="inlineStr">
        <is>
          <t>کرایه حمل محموله وارداتی از گمرک بندرعباس تا انبار تهران شد هجده میلیون، نقد دادیم به راننده تریلی. فاکتور بارنامه رسمی داره.</t>
        </is>
      </c>
      <c r="E27" s="6" t="inlineStr">
        <is>
          <t>تک‌رویدادی</t>
        </is>
      </c>
      <c r="F27" s="6" t="inlineStr">
        <is>
          <t>خیر</t>
        </is>
      </c>
      <c r="G27" s="6" t="inlineStr">
        <is>
          <t>اضافه کردن کرایه حمل به بهای تمام‌شده موجودی کالا (CAPEX کالا)</t>
        </is>
      </c>
      <c r="I27" s="11" t="n"/>
      <c r="J27" s="11" t="n"/>
      <c r="L27" t="inlineStr">
        <is>
          <t>خیر — قاعده‌اش ساخته نشده</t>
        </is>
      </c>
    </row>
    <row r="28">
      <c r="A28" s="29" t="inlineStr">
        <is>
          <t>T027</t>
        </is>
      </c>
      <c r="B28" s="12" t="inlineStr">
        <is>
          <t>۳. موجودی کالا، انبار و خرید و فروش</t>
        </is>
      </c>
      <c r="C28" s="12" t="inlineStr">
        <is>
          <t>چالش‌برانگیز</t>
        </is>
      </c>
      <c r="D28" s="5" t="inlineStr">
        <is>
          <t>مشتری اومده ده تا کارتن جنس برده بدون فاکتور، گفته تا فردا حساب میکنه، قیمتش قطعی نشده، شاید دونه‌ای دو تومن شاید دو و دویست!</t>
        </is>
      </c>
      <c r="E28" s="6" t="inlineStr">
        <is>
          <t>ابهام غیرقابل ثبت</t>
        </is>
      </c>
      <c r="F28" s="6" t="inlineStr">
        <is>
          <t>بله</t>
        </is>
      </c>
      <c r="G28" s="6" t="inlineStr">
        <is>
          <t>رد صدور سند مالی قطعی و ثبت حواله امانی انبار تا مشخص شدن نرخ</t>
        </is>
      </c>
      <c r="I28" s="11" t="n"/>
      <c r="J28" s="11" t="n"/>
      <c r="L28" t="inlineStr">
        <is>
          <t>خیر — قاعده‌اش ساخته نشده</t>
        </is>
      </c>
    </row>
    <row r="29">
      <c r="A29" s="29" t="inlineStr">
        <is>
          <t>T028</t>
        </is>
      </c>
      <c r="B29" s="12" t="inlineStr">
        <is>
          <t>۳. موجودی کالا، انبار و خرید و فروش</t>
        </is>
      </c>
      <c r="C29" s="12" t="inlineStr">
        <is>
          <t>متوسط</t>
        </is>
      </c>
      <c r="D29" s="5" t="inlineStr">
        <is>
          <t>انباردار میگه ده میلیون از اقلام بسته‌بندی بر اثر ترکیدگی لوله آب از بین رفته و ضایعات شده، بیمه هم نیستیم.</t>
        </is>
      </c>
      <c r="E29" s="6" t="inlineStr">
        <is>
          <t>تک‌رویدادی</t>
        </is>
      </c>
      <c r="F29" s="6" t="inlineStr">
        <is>
          <t>خیر</t>
        </is>
      </c>
      <c r="G29" s="6" t="inlineStr">
        <is>
          <t>ثبت زیان ناشی از ضایعات غیرعادی و بستانکار کردن موجودی ملزومات انبار</t>
        </is>
      </c>
      <c r="I29" s="11" t="n"/>
      <c r="J29" s="11" t="n"/>
      <c r="L29" t="inlineStr">
        <is>
          <t>خیر — قاعده‌اش ساخته نشده</t>
        </is>
      </c>
    </row>
    <row r="30">
      <c r="A30" s="29" t="inlineStr">
        <is>
          <t>T029</t>
        </is>
      </c>
      <c r="B30" s="12" t="inlineStr">
        <is>
          <t>۳. موجودی کالا، انبار و خرید و فروش</t>
        </is>
      </c>
      <c r="C30" s="12" t="inlineStr">
        <is>
          <t>سخت</t>
        </is>
      </c>
      <c r="D30" s="5" t="inlineStr">
        <is>
          <t>پنجاه میلیون جنس فروختیم، مشتری بعد سه روز سی میلیونشو برگردوند چون مشخصات فنی تطابق نداشت، مازاد پولشو عودت دادیم.</t>
        </is>
      </c>
      <c r="E30" s="6" t="inlineStr">
        <is>
          <t>چندرویدادی مرکب</t>
        </is>
      </c>
      <c r="F30" s="6" t="inlineStr">
        <is>
          <t>خیر</t>
        </is>
      </c>
      <c r="G30" s="6" t="inlineStr">
        <is>
          <t>ثبت برگشت از فروش و خروج وجوه از بانک به طرفیت مشتری</t>
        </is>
      </c>
      <c r="I30" s="11" t="n"/>
      <c r="J30" s="11" t="n"/>
      <c r="L30" t="inlineStr">
        <is>
          <t>خیر — قاعده‌اش ساخته نشده</t>
        </is>
      </c>
    </row>
    <row r="31">
      <c r="A31" s="29" t="inlineStr">
        <is>
          <t>T030</t>
        </is>
      </c>
      <c r="B31" s="12" t="inlineStr">
        <is>
          <t>۳. موجودی کالا، انبار و خرید و فروش</t>
        </is>
      </c>
      <c r="C31" s="12" t="inlineStr">
        <is>
          <t>چالش‌برانگیز</t>
        </is>
      </c>
      <c r="D31" s="5" t="inlineStr">
        <is>
          <t>یه بار بزرگ به ارزش ششصد میلیون رسیده دم در انبار ولی بارنامه و فاکتور فروشنده همراهش نیس، انباردار تخلیه کرده، سند چی بزنم؟</t>
        </is>
      </c>
      <c r="E31" s="6" t="inlineStr">
        <is>
          <t>ابهام نیازمند سؤال</t>
        </is>
      </c>
      <c r="F31" s="6" t="inlineStr">
        <is>
          <t>بله</t>
        </is>
      </c>
      <c r="G31" s="6" t="inlineStr">
        <is>
          <t>ثبت کالا و فاکتور نرسیده و الزام به استعلام فوری اسناد خرید</t>
        </is>
      </c>
      <c r="I31" s="11" t="n"/>
      <c r="J31" s="11" t="n"/>
      <c r="L31" t="inlineStr">
        <is>
          <t>خیر — قاعده‌اش ساخته نشده</t>
        </is>
      </c>
    </row>
    <row r="32">
      <c r="A32" s="29" t="inlineStr">
        <is>
          <t>T031</t>
        </is>
      </c>
      <c r="B32" s="12" t="inlineStr">
        <is>
          <t>۴. دریافتنی و پرداختنی تجاری</t>
        </is>
      </c>
      <c r="C32" s="12" t="inlineStr">
        <is>
          <t>آسان</t>
        </is>
      </c>
      <c r="D32" s="5" t="inlineStr">
        <is>
          <t>آقای محمدی بدهی پنجاه میلیونیش بابت خرید ماه قبل رو به حساب ملت شرکت واریز کرد، فیش واریزش پیوسته.</t>
        </is>
      </c>
      <c r="E32" s="6" t="inlineStr">
        <is>
          <t>تک‌رویدادی</t>
        </is>
      </c>
      <c r="F32" s="6" t="inlineStr">
        <is>
          <t>خیر</t>
        </is>
      </c>
      <c r="G32" s="6" t="inlineStr">
        <is>
          <t>ثبت بدهکار بانک ملت و بستانکار حساب‌های دریافتنی تجاری / آقای محمدی</t>
        </is>
      </c>
      <c r="I32" s="11" t="n"/>
      <c r="J32" s="11" t="n"/>
      <c r="L32" t="inlineStr">
        <is>
          <t>خیر — قاعده‌اش ساخته نشده</t>
        </is>
      </c>
    </row>
    <row r="33">
      <c r="A33" s="29" t="inlineStr">
        <is>
          <t>T032</t>
        </is>
      </c>
      <c r="B33" s="12" t="inlineStr">
        <is>
          <t>۴. دریافتنی و پرداختنی تجاری</t>
        </is>
      </c>
      <c r="C33" s="12" t="inlineStr">
        <is>
          <t>متوسط</t>
        </is>
      </c>
      <c r="D33" s="5" t="inlineStr">
        <is>
          <t>از طلب شرکت بهرامی هفتاد میلیون نقد گرفتیم، پنج میلیونم بهش تخفیف خوش‌حسابی دادیم چون زودتر از موعد تسویه کرد.</t>
        </is>
      </c>
      <c r="E33" s="6" t="inlineStr">
        <is>
          <t>چندرویدادی مرکب</t>
        </is>
      </c>
      <c r="F33" s="6" t="inlineStr">
        <is>
          <t>خیر</t>
        </is>
      </c>
      <c r="G33" s="6" t="inlineStr">
        <is>
          <t>تفکیک وجه دریافتی و هزینه تخفیفات نقدی فروش از حساب دریافتنی</t>
        </is>
      </c>
      <c r="I33" s="11" t="n"/>
      <c r="J33" s="11" t="n"/>
      <c r="L33" t="inlineStr">
        <is>
          <t>خیر — قاعده‌اش ساخته نشده</t>
        </is>
      </c>
    </row>
    <row r="34">
      <c r="A34" s="29" t="inlineStr">
        <is>
          <t>T033</t>
        </is>
      </c>
      <c r="B34" s="12" t="inlineStr">
        <is>
          <t>۴. دریافتنی و پرداختنی تجاری</t>
        </is>
      </c>
      <c r="C34" s="12" t="inlineStr">
        <is>
          <t>سخت</t>
        </is>
      </c>
      <c r="D34" s="5" t="inlineStr">
        <is>
          <t>سی میلیون به حساب آقای کاظمی زدیم ولی نمیدونم فاکتور خرید آهن‌آلاتشو قبلاً ثبت کردی یا بدهی قبلی بوده، نگاه کن تو سیستم.</t>
        </is>
      </c>
      <c r="E34" s="6" t="inlineStr">
        <is>
          <t>ابهام نیازمند سؤال</t>
        </is>
      </c>
      <c r="F34" s="6" t="inlineStr">
        <is>
          <t>بله</t>
        </is>
      </c>
      <c r="G34" s="6" t="inlineStr">
        <is>
          <t>تطبیق کاردکس با مانده بدهی و طرح سؤال جهت تعیین پیش‌پرداخت یا تسویه بدهی</t>
        </is>
      </c>
      <c r="I34" s="11" t="n"/>
      <c r="J34" s="11" t="n"/>
      <c r="L34" t="inlineStr">
        <is>
          <t>خیر — قاعده‌اش ساخته نشده</t>
        </is>
      </c>
    </row>
    <row r="35">
      <c r="A35" s="29" t="inlineStr">
        <is>
          <t>T034</t>
        </is>
      </c>
      <c r="B35" s="12" t="inlineStr">
        <is>
          <t>۴. دریافتنی و پرداختنی تجاری</t>
        </is>
      </c>
      <c r="C35" s="12" t="inlineStr">
        <is>
          <t>چالش‌برانگیز</t>
        </is>
      </c>
      <c r="D35" s="5" t="inlineStr">
        <is>
          <t>شرکت نوین که بهمون چهل میلیون بدهکار بود ورشکست شده و فرار کرده، وکیل میگه دیگه امیدی به وصول نیست، سند سوختشو بزن.</t>
        </is>
      </c>
      <c r="E35" s="6" t="inlineStr">
        <is>
          <t>تک‌رویدادی</t>
        </is>
      </c>
      <c r="F35" s="6" t="inlineStr">
        <is>
          <t>خیر</t>
        </is>
      </c>
      <c r="G35" s="6" t="inlineStr">
        <is>
          <t>شناسایی هزینه مطالبات سوخت‌شده از محل ذخیره مطالبات مشکوک‌الوصول</t>
        </is>
      </c>
      <c r="I35" s="11" t="n"/>
      <c r="J35" s="11" t="n"/>
      <c r="L35" t="inlineStr">
        <is>
          <t>خیر — قاعده‌اش ساخته نشده</t>
        </is>
      </c>
    </row>
    <row r="36">
      <c r="A36" s="29" t="inlineStr">
        <is>
          <t>T035</t>
        </is>
      </c>
      <c r="B36" s="12" t="inlineStr">
        <is>
          <t>۴. دریافتنی و پرداختنی تجاری</t>
        </is>
      </c>
      <c r="C36" s="12" t="inlineStr">
        <is>
          <t>متوسط</t>
        </is>
      </c>
      <c r="D36" s="5" t="inlineStr">
        <is>
          <t>به تامین‌کننده کارتن هشتاد میلیون بدهکار بودیم، پنجاه میلیون دادیم، گفت ده تومن دیگه بدی بقیه‌شو می‌بخشم، ما هم قبول کردیم.</t>
        </is>
      </c>
      <c r="E36" s="6" t="inlineStr">
        <is>
          <t>چندرویدادی مرکب</t>
        </is>
      </c>
      <c r="F36" s="6" t="inlineStr">
        <is>
          <t>خیر</t>
        </is>
      </c>
      <c r="G36" s="6" t="inlineStr">
        <is>
          <t>تفکیک پرداخت نقدی، بدهی باقی‌مانده و شناسایی تخفیفات نقدی خرید</t>
        </is>
      </c>
      <c r="I36" s="11" t="n"/>
      <c r="J36" s="11" t="n"/>
      <c r="L36" t="inlineStr">
        <is>
          <t>خیر — قاعده‌اش ساخته نشده</t>
        </is>
      </c>
    </row>
    <row r="37">
      <c r="A37" s="29" t="inlineStr">
        <is>
          <t>T036</t>
        </is>
      </c>
      <c r="B37" s="12" t="inlineStr">
        <is>
          <t>۴. دریافتنی و پرداختنی تجاری</t>
        </is>
      </c>
      <c r="C37" s="12" t="inlineStr">
        <is>
          <t>سخت</t>
        </is>
      </c>
      <c r="D37" s="5" t="inlineStr">
        <is>
          <t>مشتری شصت میلیون ریخته به حساب شخصی مدیرعامل، مدیرعاملم چهل میلیونشو آورده تو تنخواه شرکت، بیست تومنشم خرج شخصی کرده!</t>
        </is>
      </c>
      <c r="E37" s="6" t="inlineStr">
        <is>
          <t>چندرویدادی مرکب</t>
        </is>
      </c>
      <c r="F37" s="6" t="inlineStr">
        <is>
          <t>خیر</t>
        </is>
      </c>
      <c r="G37" s="6" t="inlineStr">
        <is>
          <t>تفکیک تسویه طلب مشتری، ورود به تنخواه و بدهکار کردن جاری شرکا / مدیرعامل</t>
        </is>
      </c>
      <c r="I37" s="11" t="n"/>
      <c r="J37" s="11" t="n"/>
      <c r="L37" t="inlineStr">
        <is>
          <t>خیر — قاعده‌اش ساخته نشده</t>
        </is>
      </c>
    </row>
    <row r="38">
      <c r="A38" s="29" t="inlineStr">
        <is>
          <t>T037</t>
        </is>
      </c>
      <c r="B38" s="12" t="inlineStr">
        <is>
          <t>۴. دریافتنی و پرداختنی تجاری</t>
        </is>
      </c>
      <c r="C38" s="12" t="inlineStr">
        <is>
          <t>چالش‌برانگیز</t>
        </is>
      </c>
      <c r="D38" s="5" t="inlineStr">
        <is>
          <t>یه پولی اومده تو حساب ملی بیست و دو میلیون، معلوم نیس کی ریخته، هیچکی هم تا حالا فیش نیاورده.</t>
        </is>
      </c>
      <c r="E38" s="6" t="inlineStr">
        <is>
          <t>ابهام نیازمند سؤال</t>
        </is>
      </c>
      <c r="F38" s="6" t="inlineStr">
        <is>
          <t>بله</t>
        </is>
      </c>
      <c r="G38" s="6" t="inlineStr">
        <is>
          <t>ثبت در سرفصل بستانکاران موقت (وجوه نامشخص بانکی) تا زمان شناسایی واریزکننده</t>
        </is>
      </c>
      <c r="I38" s="11" t="n"/>
      <c r="J38" s="11" t="n"/>
      <c r="L38" t="inlineStr">
        <is>
          <t>خیر — قاعده‌اش ساخته نشده</t>
        </is>
      </c>
    </row>
    <row r="39">
      <c r="A39" s="29" t="inlineStr">
        <is>
          <t>T038</t>
        </is>
      </c>
      <c r="B39" s="12" t="inlineStr">
        <is>
          <t>۴. دریافتنی و پرداختنی تجاری</t>
        </is>
      </c>
      <c r="C39" s="12" t="inlineStr">
        <is>
          <t>متوسط</t>
        </is>
      </c>
      <c r="D39" s="5" t="inlineStr">
        <is>
          <t>پایان سال شد، پنج درصد از کل مانده مطالبات مشتریان یعنی سی و پنج میلیون تومن رو ذخیره مشکوک‌الوصول بگیر.</t>
        </is>
      </c>
      <c r="E39" s="6" t="inlineStr">
        <is>
          <t>تک‌رویدادی</t>
        </is>
      </c>
      <c r="F39" s="6" t="inlineStr">
        <is>
          <t>خیر</t>
        </is>
      </c>
      <c r="G39" s="6" t="inlineStr">
        <is>
          <t>بدهکار هزینه مطالبات مشکوک‌الوصول و بستانکار ذخیره مطالبات مشکوک‌الوصول</t>
        </is>
      </c>
      <c r="I39" s="11" t="n"/>
      <c r="J39" s="11" t="n"/>
      <c r="L39" t="inlineStr">
        <is>
          <t>خیر — قاعده‌اش ساخته نشده</t>
        </is>
      </c>
    </row>
    <row r="40">
      <c r="A40" s="29" t="inlineStr">
        <is>
          <t>T039</t>
        </is>
      </c>
      <c r="B40" s="12" t="inlineStr">
        <is>
          <t>۴. دریافتنی و پرداختنی تجاری</t>
        </is>
      </c>
      <c r="C40" s="12" t="inlineStr">
        <is>
          <t>سخت</t>
        </is>
      </c>
      <c r="D40" s="5" t="inlineStr">
        <is>
          <t>آقای رادمنش طلبکار بود، ده میلیون جنس دادیم بهش به جای ده میلیون طلبش، بدون اینکه پولی جابجا بشه.</t>
        </is>
      </c>
      <c r="E40" s="6" t="inlineStr">
        <is>
          <t>تک‌رویدادی</t>
        </is>
      </c>
      <c r="F40" s="6" t="inlineStr">
        <is>
          <t>خیر</t>
        </is>
      </c>
      <c r="G40" s="6" t="inlineStr">
        <is>
          <t>تسویه حساب‌های پرداختنی تجاری از طریق خروج موجودی کالا / درآمد فروش</t>
        </is>
      </c>
      <c r="I40" s="11" t="n"/>
      <c r="J40" s="11" t="n"/>
      <c r="L40" t="inlineStr">
        <is>
          <t>خیر — قاعده‌اش ساخته نشده</t>
        </is>
      </c>
    </row>
    <row r="41">
      <c r="A41" s="29" t="inlineStr">
        <is>
          <t>T040</t>
        </is>
      </c>
      <c r="B41" s="12" t="inlineStr">
        <is>
          <t>۴. دریافتنی و پرداختنی تجاری</t>
        </is>
      </c>
      <c r="C41" s="12" t="inlineStr">
        <is>
          <t>چالش‌برانگیز</t>
        </is>
      </c>
      <c r="D41" s="5" t="inlineStr">
        <is>
          <t>یه حسابی داریم با برادران کمالی، هی پول میزنن هی بار میبرن، الان مانده حساب کلا مغایرت داره، یه سند بزن صاف شه!</t>
        </is>
      </c>
      <c r="E41" s="6" t="inlineStr">
        <is>
          <t>ابهام غیرقابل ثبت</t>
        </is>
      </c>
      <c r="F41" s="6" t="inlineStr">
        <is>
          <t>بله</t>
        </is>
      </c>
      <c r="G41" s="6" t="inlineStr">
        <is>
          <t>رد قطعی سند تعدیل و الزام به تهیه صورت مغایرت و استخراج سند تسویه شفاف</t>
        </is>
      </c>
      <c r="I41" s="11" t="n"/>
      <c r="J41" s="11" t="n"/>
      <c r="L41" t="inlineStr">
        <is>
          <t>خیر — قاعده‌اش ساخته نشده</t>
        </is>
      </c>
    </row>
    <row r="42">
      <c r="A42" s="29" t="inlineStr">
        <is>
          <t>T041</t>
        </is>
      </c>
      <c r="B42" s="12" t="inlineStr">
        <is>
          <t>۵. چک و سفته و اسناد تجاری</t>
        </is>
      </c>
      <c r="C42" s="12" t="inlineStr">
        <is>
          <t>آسان</t>
        </is>
      </c>
      <c r="D42" s="5" t="inlineStr">
        <is>
          <t>چک صیادی به مبلغ شصت و پنج میلیون تومن به سررسید پانزدهم ماه بعد از مشتری گرفتیم و تو سامانه صیاد تایید شد.</t>
        </is>
      </c>
      <c r="E42" s="6" t="inlineStr">
        <is>
          <t>تک‌رویدادی</t>
        </is>
      </c>
      <c r="F42" s="6" t="inlineStr">
        <is>
          <t>خیر</t>
        </is>
      </c>
      <c r="G42" s="6" t="inlineStr">
        <is>
          <t>ثبت اسناد دریافتنی تجاری نزد صندوق / اسناد در جریان وصول</t>
        </is>
      </c>
      <c r="I42" s="11" t="n"/>
      <c r="J42" s="11" t="n"/>
      <c r="L42" t="inlineStr">
        <is>
          <t>تا حدی — چک دریافتی سؤال می‌پرسد</t>
        </is>
      </c>
    </row>
    <row r="43">
      <c r="A43" s="29" t="inlineStr">
        <is>
          <t>T042</t>
        </is>
      </c>
      <c r="B43" s="12" t="inlineStr">
        <is>
          <t>۵. چک و سفته و اسناد تجاری</t>
        </is>
      </c>
      <c r="C43" s="12" t="inlineStr">
        <is>
          <t>متوسط</t>
        </is>
      </c>
      <c r="D43" s="5" t="inlineStr">
        <is>
          <t>چک مشتری که سررسیدش امروز بود رو بردیم بانک بخوابونیم به حساب، بانک گفت واخواست شده و موجودی نداره برگشت زد.</t>
        </is>
      </c>
      <c r="E43" s="6" t="inlineStr">
        <is>
          <t>تک‌رویدادی</t>
        </is>
      </c>
      <c r="F43" s="6" t="inlineStr">
        <is>
          <t>خیر</t>
        </is>
      </c>
      <c r="G43" s="6" t="inlineStr">
        <is>
          <t>انتقال از اسناد دریافتنی در جریان وصول به سرفصل اسناد دریافتنی برگشتی/نکول‌شده</t>
        </is>
      </c>
      <c r="I43" s="11" t="n"/>
      <c r="J43" s="11" t="n"/>
      <c r="L43" t="inlineStr">
        <is>
          <t>تا حدی — چک دریافتی سؤال می‌پرسد</t>
        </is>
      </c>
    </row>
    <row r="44">
      <c r="A44" s="29" t="inlineStr">
        <is>
          <t>T043</t>
        </is>
      </c>
      <c r="B44" s="12" t="inlineStr">
        <is>
          <t>۵. چک و سفته و اسناد تجاری</t>
        </is>
      </c>
      <c r="C44" s="12" t="inlineStr">
        <is>
          <t>سخت</t>
        </is>
      </c>
      <c r="D44" s="5" t="inlineStr">
        <is>
          <t>چک پنجاه میلیونی شرکت واسه خرید پلاستیک پاس شد، پنجاه هزار تومن کارمزد رفع سوءاثر یا صدور گواهی عدم پرداختم کسر شد.</t>
        </is>
      </c>
      <c r="E44" s="6" t="inlineStr">
        <is>
          <t>چندرویدادی مرکب</t>
        </is>
      </c>
      <c r="F44" s="6" t="inlineStr">
        <is>
          <t>خیر</t>
        </is>
      </c>
      <c r="G44" s="6" t="inlineStr">
        <is>
          <t>تسویه اسناد پرداختنی از بانک و ثبت هزینه کارمزد خدمات بانکی</t>
        </is>
      </c>
      <c r="I44" s="11" t="n"/>
      <c r="J44" s="11" t="n"/>
      <c r="L44" t="inlineStr">
        <is>
          <t>تا حدی — چک دریافتی سؤال می‌پرسد</t>
        </is>
      </c>
    </row>
    <row r="45">
      <c r="A45" s="29" t="inlineStr">
        <is>
          <t>T044</t>
        </is>
      </c>
      <c r="B45" s="12" t="inlineStr">
        <is>
          <t>۵. چک و سفته و اسناد تجاری</t>
        </is>
      </c>
      <c r="C45" s="12" t="inlineStr">
        <is>
          <t>چالش‌برانگیز</t>
        </is>
      </c>
      <c r="D45" s="5" t="inlineStr">
        <is>
          <t>یه چک صد میلیونی دادم دست آهنگر، نه تاریخ داره نه در وجه کسی نوشتم، گفتم دستت باشه کار تموم شد پرش کن!</t>
        </is>
      </c>
      <c r="E45" s="6" t="inlineStr">
        <is>
          <t>ابهام نیازمند سؤال</t>
        </is>
      </c>
      <c r="F45" s="6" t="inlineStr">
        <is>
          <t>بله</t>
        </is>
      </c>
      <c r="G45" s="6" t="inlineStr">
        <is>
          <t>رد ثبت سند مالی به عنوان تعهد قطعی و ثبت انتظامی یا یادداشت کنترلی تضمین</t>
        </is>
      </c>
      <c r="I45" s="11" t="n"/>
      <c r="J45" s="11" t="n"/>
      <c r="L45" t="inlineStr">
        <is>
          <t>تا حدی — چک دریافتی سؤال می‌پرسد</t>
        </is>
      </c>
    </row>
    <row r="46">
      <c r="A46" s="29" t="inlineStr">
        <is>
          <t>T045</t>
        </is>
      </c>
      <c r="B46" s="12" t="inlineStr">
        <is>
          <t>۵. چک و سفته و اسناد تجاری</t>
        </is>
      </c>
      <c r="C46" s="12" t="inlineStr">
        <is>
          <t>متوسط</t>
        </is>
      </c>
      <c r="D46" s="5" t="inlineStr">
        <is>
          <t>چک مشتری آقای مرادی رو خرج کردیم دادیم به آقای کبیری بابت تسویه بدهی خرید رنگ و ابزار، مبلغش هشتاد میلیون تومن بود.</t>
        </is>
      </c>
      <c r="E46" s="6" t="inlineStr">
        <is>
          <t>تک‌رویدادی</t>
        </is>
      </c>
      <c r="F46" s="6" t="inlineStr">
        <is>
          <t>خیر</t>
        </is>
      </c>
      <c r="G46" s="6" t="inlineStr">
        <is>
          <t>بدهکار حساب‌های پرداختنی (آقای کبیری) و بستانکار اسناد دریافتنی تجاری</t>
        </is>
      </c>
      <c r="I46" s="11" t="n"/>
      <c r="J46" s="11" t="n"/>
      <c r="L46" t="inlineStr">
        <is>
          <t>تا حدی — چک دریافتی سؤال می‌پرسد</t>
        </is>
      </c>
    </row>
    <row r="47">
      <c r="A47" s="29" t="inlineStr">
        <is>
          <t>T046</t>
        </is>
      </c>
      <c r="B47" s="12" t="inlineStr">
        <is>
          <t>۵. چک و سفته و اسناد تجاری</t>
        </is>
      </c>
      <c r="C47" s="12" t="inlineStr">
        <is>
          <t>سخت</t>
        </is>
      </c>
      <c r="D47" s="5" t="inlineStr">
        <is>
          <t>سفته‌ای که پارسال بابت ضمانت حسن انجام تعهدات قرارداد به اداره گاز داده بودیم با اتمام پروژه باطل شد و برگشت.</t>
        </is>
      </c>
      <c r="E47" s="6" t="inlineStr">
        <is>
          <t>تک‌رویدادی</t>
        </is>
      </c>
      <c r="F47" s="6" t="inlineStr">
        <is>
          <t>خیر</t>
        </is>
      </c>
      <c r="G47" s="6" t="inlineStr">
        <is>
          <t>برگشت و بستن ثبت حساب‌های انتظامی (طرف حساب انتظامی / اسناد وثیقه‌ای)</t>
        </is>
      </c>
      <c r="I47" s="11" t="n"/>
      <c r="J47" s="11" t="n"/>
      <c r="L47" t="inlineStr">
        <is>
          <t>تا حدی — چک دریافتی سؤال می‌پرسد</t>
        </is>
      </c>
    </row>
    <row r="48">
      <c r="A48" s="29" t="inlineStr">
        <is>
          <t>T047</t>
        </is>
      </c>
      <c r="B48" s="12" t="inlineStr">
        <is>
          <t>۵. چک و سفته و اسناد تجاری</t>
        </is>
      </c>
      <c r="C48" s="12" t="inlineStr">
        <is>
          <t>چالش‌برانگیز</t>
        </is>
      </c>
      <c r="D48" s="5" t="inlineStr">
        <is>
          <t>چک مشتری رفت بانک، چهل میلیون موجودی داشت ولی کل چک هفتاد میلیون بود، چهل میلیون رو وصول کردیم گواهی کسر داد.</t>
        </is>
      </c>
      <c r="E48" s="6" t="inlineStr">
        <is>
          <t>چندرویدادی مرکب</t>
        </is>
      </c>
      <c r="F48" s="6" t="inlineStr">
        <is>
          <t>خیر</t>
        </is>
      </c>
      <c r="G48" s="6" t="inlineStr">
        <is>
          <t>ثبت وصول جزئی در بانک و انتقال مابقی ۳۰ میلیون به اسناد دریافتنی نکول‌شده</t>
        </is>
      </c>
      <c r="I48" s="11" t="n"/>
      <c r="J48" s="11" t="n"/>
      <c r="L48" t="inlineStr">
        <is>
          <t>تا حدی — چک دریافتی سؤال می‌پرسد</t>
        </is>
      </c>
    </row>
    <row r="49">
      <c r="A49" s="29" t="inlineStr">
        <is>
          <t>T048</t>
        </is>
      </c>
      <c r="B49" s="12" t="inlineStr">
        <is>
          <t>۵. چک و سفته و اسناد تجاری</t>
        </is>
      </c>
      <c r="C49" s="12" t="inlineStr">
        <is>
          <t>متوسط</t>
        </is>
      </c>
      <c r="D49" s="5" t="inlineStr">
        <is>
          <t>چک نود میلیونی مشتری رو بردیم بازار تنزیل کردیم، صراف هشتاد و سه میلیون نقد داد، هفت میلیون تومن کسر کرد.</t>
        </is>
      </c>
      <c r="E49" s="6" t="inlineStr">
        <is>
          <t>چندرویدادی مرکب</t>
        </is>
      </c>
      <c r="F49" s="6" t="inlineStr">
        <is>
          <t>خیر</t>
        </is>
      </c>
      <c r="G49" s="6" t="inlineStr">
        <is>
          <t>ثبت نقد دریافتی، هزینه مالی ناشی از تنزیل اسناد و خروج اسناد دریافتنی</t>
        </is>
      </c>
      <c r="I49" s="11" t="n"/>
      <c r="J49" s="11" t="n"/>
      <c r="L49" t="inlineStr">
        <is>
          <t>تا حدی — چک دریافتی سؤال می‌پرسد</t>
        </is>
      </c>
    </row>
    <row r="50">
      <c r="A50" s="29" t="inlineStr">
        <is>
          <t>T049</t>
        </is>
      </c>
      <c r="B50" s="12" t="inlineStr">
        <is>
          <t>۵. چک و سفته و اسناد تجاری</t>
        </is>
      </c>
      <c r="C50" s="12" t="inlineStr">
        <is>
          <t>سخت</t>
        </is>
      </c>
      <c r="D50" s="5" t="inlineStr">
        <is>
          <t>دسته چک جدید بانک تجارت رو تحویل گرفتیم، پنجاه برگه، کارمزد صدور دسته چک هم دویست هزار تومن از حساب کم شد.</t>
        </is>
      </c>
      <c r="E50" s="6" t="inlineStr">
        <is>
          <t>تک‌رویدادی</t>
        </is>
      </c>
      <c r="F50" s="6" t="inlineStr">
        <is>
          <t>خیر</t>
        </is>
      </c>
      <c r="G50" s="6" t="inlineStr">
        <is>
          <t>ثبت هزینه کارمزد بانکی و ایجاد ردیف ثبتی چک‌ها در سامانه خزانه‌داری انتظامی</t>
        </is>
      </c>
      <c r="I50" s="11" t="n"/>
      <c r="J50" s="11" t="n"/>
      <c r="L50" t="inlineStr">
        <is>
          <t>تا حدی — چک دریافتی سؤال می‌پرسد</t>
        </is>
      </c>
    </row>
    <row r="51">
      <c r="A51" s="29" t="inlineStr">
        <is>
          <t>T050</t>
        </is>
      </c>
      <c r="B51" s="12" t="inlineStr">
        <is>
          <t>۵. چک و سفته و اسناد تجاری</t>
        </is>
      </c>
      <c r="C51" s="12" t="inlineStr">
        <is>
          <t>چالش‌برانگیز</t>
        </is>
      </c>
      <c r="D51" s="5" t="inlineStr">
        <is>
          <t>یه چک دست‌لاف پنجاه میلیونی دادم به شریکم، نمیدونم فردا نقدش میکنه یا چک دیگه بهم پس میده!</t>
        </is>
      </c>
      <c r="E51" s="6" t="inlineStr">
        <is>
          <t>ابهام نیازمند سؤال</t>
        </is>
      </c>
      <c r="F51" s="6" t="inlineStr">
        <is>
          <t>بله</t>
        </is>
      </c>
      <c r="G51" s="6" t="inlineStr">
        <is>
          <t>طرح سؤال شفاف‌سازی بابت نوع تعهد، ذینفع و عدم ثبت قطعی هزینه یا بدهی تجاری</t>
        </is>
      </c>
      <c r="I51" s="11" t="n"/>
      <c r="J51" s="11" t="n"/>
      <c r="L51" t="inlineStr">
        <is>
          <t>تا حدی — چک دریافتی سؤال می‌پرسد</t>
        </is>
      </c>
    </row>
    <row r="52">
      <c r="A52" s="29" t="inlineStr">
        <is>
          <t>T051</t>
        </is>
      </c>
      <c r="B52" s="12" t="inlineStr">
        <is>
          <t>۶. وام و تسهیلات بانکی</t>
        </is>
      </c>
      <c r="C52" s="12" t="inlineStr">
        <is>
          <t>آسان</t>
        </is>
      </c>
      <c r="D52" s="5" t="inlineStr">
        <is>
          <t>وام پانصد میلیون تومانی طرح مسکن یا توسعه اشتغال بانک تجارت واریز شد به حساب شرکت، سندشو بزن.</t>
        </is>
      </c>
      <c r="E52" s="6" t="inlineStr">
        <is>
          <t>تک‌رویدادی</t>
        </is>
      </c>
      <c r="F52" s="6" t="inlineStr">
        <is>
          <t>خیر</t>
        </is>
      </c>
      <c r="G52" s="6" t="inlineStr">
        <is>
          <t>بدهکار بانک تجارت و بستانکار تسهیلات مالی دریافتی بلندمدت/کوتاه‌مدت</t>
        </is>
      </c>
      <c r="I52" s="11" t="n"/>
      <c r="J52" s="11" t="n"/>
      <c r="L52" t="inlineStr">
        <is>
          <t>خیر — قاعده‌اش ساخته نشده</t>
        </is>
      </c>
    </row>
    <row r="53">
      <c r="A53" s="29" t="inlineStr">
        <is>
          <t>T052</t>
        </is>
      </c>
      <c r="B53" s="12" t="inlineStr">
        <is>
          <t>۶. وام و تسهیلات بانکی</t>
        </is>
      </c>
      <c r="C53" s="12" t="inlineStr">
        <is>
          <t>متوسط</t>
        </is>
      </c>
      <c r="D53" s="5" t="inlineStr">
        <is>
          <t>قسط اول وام بانک ملت سررسید شد، بیست و سه میلیون قسط دادیم، هفده میلیون اصل وام بود و شش میلیون سود وام.</t>
        </is>
      </c>
      <c r="E53" s="6" t="inlineStr">
        <is>
          <t>چندرویدادی مرکب</t>
        </is>
      </c>
      <c r="F53" s="6" t="inlineStr">
        <is>
          <t>خیر</t>
        </is>
      </c>
      <c r="G53" s="6" t="inlineStr">
        <is>
          <t>تفکیک بازپرداخت اصل تسهیلات بانکی از هزینه مالی / بهره وام دوره</t>
        </is>
      </c>
      <c r="I53" s="11" t="n"/>
      <c r="J53" s="11" t="n"/>
      <c r="L53" t="inlineStr">
        <is>
          <t>خیر — قاعده‌اش ساخته نشده</t>
        </is>
      </c>
    </row>
    <row r="54">
      <c r="A54" s="29" t="inlineStr">
        <is>
          <t>T053</t>
        </is>
      </c>
      <c r="B54" s="12" t="inlineStr">
        <is>
          <t>۶. وام و تسهیلات بانکی</t>
        </is>
      </c>
      <c r="C54" s="12" t="inlineStr">
        <is>
          <t>سخت</t>
        </is>
      </c>
      <c r="D54" s="5" t="inlineStr">
        <is>
          <t>بانک سپه واسه پرداخت وام سیصد میلیونی، سی میلیون تومنشو به عنوان سپرده مسدودی تا آخر تسویه بلوکه کرد.</t>
        </is>
      </c>
      <c r="E54" s="6" t="inlineStr">
        <is>
          <t>چندرویدادی مرکب</t>
        </is>
      </c>
      <c r="F54" s="6" t="inlineStr">
        <is>
          <t>خیر</t>
        </is>
      </c>
      <c r="G54" s="6" t="inlineStr">
        <is>
          <t>تفکیک وجه نقد در دسترس در بانک جاری از سپرده مسدودی بانکی نزد تسهیلات</t>
        </is>
      </c>
      <c r="I54" s="11" t="n"/>
      <c r="J54" s="11" t="n"/>
      <c r="L54" t="inlineStr">
        <is>
          <t>خیر — قاعده‌اش ساخته نشده</t>
        </is>
      </c>
    </row>
    <row r="55">
      <c r="A55" s="29" t="inlineStr">
        <is>
          <t>T054</t>
        </is>
      </c>
      <c r="B55" s="12" t="inlineStr">
        <is>
          <t>۶. وام و تسهیلات بانکی</t>
        </is>
      </c>
      <c r="C55" s="12" t="inlineStr">
        <is>
          <t>چالش‌برانگیز</t>
        </is>
      </c>
      <c r="D55" s="5" t="inlineStr">
        <is>
          <t>چهل میلیون ریختیم به حساب بانک واسه تاخیر اقساط و اصل قسط، نمیدونم جریمه دیرکردش چقدر بود و اصلش چقدر!</t>
        </is>
      </c>
      <c r="E55" s="6" t="inlineStr">
        <is>
          <t>ابهام نیازمند سؤال</t>
        </is>
      </c>
      <c r="F55" s="6" t="inlineStr">
        <is>
          <t>بله</t>
        </is>
      </c>
      <c r="G55" s="6" t="inlineStr">
        <is>
          <t>طرح سؤال جهت استعلام اعلامیه بدهکار بانک و تفکیک اصل از جرایم تاخیر تأدیه</t>
        </is>
      </c>
      <c r="I55" s="11" t="n"/>
      <c r="J55" s="11" t="n"/>
      <c r="L55" t="inlineStr">
        <is>
          <t>خیر — قاعده‌اش ساخته نشده</t>
        </is>
      </c>
    </row>
    <row r="56">
      <c r="A56" s="29" t="inlineStr">
        <is>
          <t>T055</t>
        </is>
      </c>
      <c r="B56" s="12" t="inlineStr">
        <is>
          <t>۶. وام و تسهیلات بانکی</t>
        </is>
      </c>
      <c r="C56" s="12" t="inlineStr">
        <is>
          <t>متوسط</t>
        </is>
      </c>
      <c r="D56" s="5" t="inlineStr">
        <is>
          <t>سود سالانه تسهیلات مالی سررسید نشده شرکت به مبلغ چهل و هشت میلیون تومن طبق جدول استهلاک وام تحقق پیدا کرده.</t>
        </is>
      </c>
      <c r="E56" s="6" t="inlineStr">
        <is>
          <t>تک‌رویدادی</t>
        </is>
      </c>
      <c r="F56" s="6" t="inlineStr">
        <is>
          <t>خیر</t>
        </is>
      </c>
      <c r="G56" s="6" t="inlineStr">
        <is>
          <t>بدهکار هزینه مالی و بستانکار سود تحقق‌نیافته تسهیلات بانکی (پیش‌دریافت سود)</t>
        </is>
      </c>
      <c r="I56" s="11" t="n"/>
      <c r="J56" s="11" t="n"/>
      <c r="L56" t="inlineStr">
        <is>
          <t>خیر — قاعده‌اش ساخته نشده</t>
        </is>
      </c>
    </row>
    <row r="57">
      <c r="A57" s="29" t="inlineStr">
        <is>
          <t>T056</t>
        </is>
      </c>
      <c r="B57" s="12" t="inlineStr">
        <is>
          <t>۶. وام و تسهیلات بانکی</t>
        </is>
      </c>
      <c r="C57" s="12" t="inlineStr">
        <is>
          <t>سخت</t>
        </is>
      </c>
      <c r="D57" s="5" t="inlineStr">
        <is>
          <t>ضمانت‌نامه بانکی شرکت در مناقصه به مبلغ یک میلیارد تومن صادر شد، پانزده میلیون کارمزد صدور دادیم و ده درصد سپرده نقدی گذاشتیم.</t>
        </is>
      </c>
      <c r="E57" s="6" t="inlineStr">
        <is>
          <t>چندرویدادی مرکب</t>
        </is>
      </c>
      <c r="F57" s="6" t="inlineStr">
        <is>
          <t>خیر</t>
        </is>
      </c>
      <c r="G57" s="6" t="inlineStr">
        <is>
          <t>ثبت کارمزد هزینه مالی، سپرده نقدی وثیقه و ثبت انتظامی صدور ضمانت‌نامه مناقصه</t>
        </is>
      </c>
      <c r="I57" s="11" t="n"/>
      <c r="J57" s="11" t="n"/>
      <c r="L57" t="inlineStr">
        <is>
          <t>خیر — قاعده‌اش ساخته نشده</t>
        </is>
      </c>
    </row>
    <row r="58">
      <c r="A58" s="29" t="inlineStr">
        <is>
          <t>T057</t>
        </is>
      </c>
      <c r="B58" s="12" t="inlineStr">
        <is>
          <t>۶. وام و تسهیلات بانکی</t>
        </is>
      </c>
      <c r="C58" s="12" t="inlineStr">
        <is>
          <t>چالش‌برانگیز</t>
        </is>
      </c>
      <c r="D58" s="5" t="inlineStr">
        <is>
          <t>صاحب شرکت از حساب شخصیش وام گرفته آورده تزریق کرده به حساب شرکت، اقساطشم قراره شرکت بده.</t>
        </is>
      </c>
      <c r="E58" s="6" t="inlineStr">
        <is>
          <t>چندرویدادی مرکب</t>
        </is>
      </c>
      <c r="F58" s="6" t="inlineStr">
        <is>
          <t>بله</t>
        </is>
      </c>
      <c r="G58" s="6" t="inlineStr">
        <is>
          <t>طرح سؤال جهت انتخاب ساختار حقوقی: استقراض از سهامدار یا تسهیلات با وکالت شرکت</t>
        </is>
      </c>
      <c r="I58" s="11" t="n"/>
      <c r="J58" s="11" t="n"/>
      <c r="L58" t="inlineStr">
        <is>
          <t>خیر — قاعده‌اش ساخته نشده</t>
        </is>
      </c>
    </row>
    <row r="59">
      <c r="A59" s="29" t="inlineStr">
        <is>
          <t>T058</t>
        </is>
      </c>
      <c r="B59" s="12" t="inlineStr">
        <is>
          <t>۶. وام و تسهیلات بانکی</t>
        </is>
      </c>
      <c r="C59" s="12" t="inlineStr">
        <is>
          <t>متوسط</t>
        </is>
      </c>
      <c r="D59" s="5" t="inlineStr">
        <is>
          <t>تسهیلات خرید دین روی فاکتورهای فروش شرکت به مبلغ دویست میلیون تومن با کسر هجده میلیون بهره تسویه شد.</t>
        </is>
      </c>
      <c r="E59" s="6" t="inlineStr">
        <is>
          <t>چندرویدادی مرکب</t>
        </is>
      </c>
      <c r="F59" s="6" t="inlineStr">
        <is>
          <t>خیر</t>
        </is>
      </c>
      <c r="G59" s="6" t="inlineStr">
        <is>
          <t>ثبت ورود وجه خالص، شناسایی هزینه مالی تسهیلات خرید دین و بدهی بانکی</t>
        </is>
      </c>
      <c r="I59" s="11" t="n"/>
      <c r="J59" s="11" t="n"/>
      <c r="L59" t="inlineStr">
        <is>
          <t>خیر — قاعده‌اش ساخته نشده</t>
        </is>
      </c>
    </row>
    <row r="60">
      <c r="A60" s="29" t="inlineStr">
        <is>
          <t>T059</t>
        </is>
      </c>
      <c r="B60" s="12" t="inlineStr">
        <is>
          <t>۶. وام و تسهیلات بانکی</t>
        </is>
      </c>
      <c r="C60" s="12" t="inlineStr">
        <is>
          <t>سخت</t>
        </is>
      </c>
      <c r="D60" s="5" t="inlineStr">
        <is>
          <t>کارمزد تمدید حد اعتباری شرکت در بانک ملی شد شش میلیون و پانصد هزار تومن که مستقیم از حساب کسر گردید.</t>
        </is>
      </c>
      <c r="E60" s="6" t="inlineStr">
        <is>
          <t>تک‌رویدادی</t>
        </is>
      </c>
      <c r="F60" s="6" t="inlineStr">
        <is>
          <t>خیر</t>
        </is>
      </c>
      <c r="G60" s="6" t="inlineStr">
        <is>
          <t>بدهکار هزینه کارمزد تسهیلات و خدمات بانکی و بستانکار حساب جاری بانک ملی</t>
        </is>
      </c>
      <c r="I60" s="11" t="n"/>
      <c r="J60" s="11" t="n"/>
      <c r="L60" t="inlineStr">
        <is>
          <t>خیر — قاعده‌اش ساخته نشده</t>
        </is>
      </c>
    </row>
    <row r="61">
      <c r="A61" s="29" t="inlineStr">
        <is>
          <t>T060</t>
        </is>
      </c>
      <c r="B61" s="12" t="inlineStr">
        <is>
          <t>۶. وام و تسهیلات بانکی</t>
        </is>
      </c>
      <c r="C61" s="12" t="inlineStr">
        <is>
          <t>چالش‌برانگیز</t>
        </is>
      </c>
      <c r="D61" s="5" t="inlineStr">
        <is>
          <t>مدیرعامل رفته از بازار آزاد با سود پنج درصد ماهانه دویست میلیون قرض گرفته، میگه فعلا ثبت نکن مالیات نبینه!</t>
        </is>
      </c>
      <c r="E61" s="6" t="inlineStr">
        <is>
          <t>ابهام غیرقابل ثبت</t>
        </is>
      </c>
      <c r="F61" s="6" t="inlineStr">
        <is>
          <t>بله</t>
        </is>
      </c>
      <c r="G61" s="6" t="inlineStr">
        <is>
          <t>هشدار عدم انطباق با قوانین مالیاتی، رد پنهان‌کاری و اعلام ریسک جدی مالیات عملکرد</t>
        </is>
      </c>
      <c r="I61" s="11" t="n"/>
      <c r="J61" s="11" t="n"/>
      <c r="L61" t="inlineStr">
        <is>
          <t>خیر — قاعده‌اش ساخته نشده</t>
        </is>
      </c>
    </row>
    <row r="62">
      <c r="A62" s="29" t="inlineStr">
        <is>
          <t>T061</t>
        </is>
      </c>
      <c r="B62" s="12" t="inlineStr">
        <is>
          <t>۷. حقوق، دستمزد و بیمه</t>
        </is>
      </c>
      <c r="C62" s="12" t="inlineStr">
        <is>
          <t>آسان</t>
        </is>
      </c>
      <c r="D62" s="5" t="inlineStr">
        <is>
          <t>لیست حقوق اسفند پرسنل آماده شد، جمع ناخالص صد و هشتاد میلیون، بیمه سهم کارگر سیزده میلیون، مالیات هشت میلیون، خالص پرداختی به بانک رفت.</t>
        </is>
      </c>
      <c r="E62" s="6" t="inlineStr">
        <is>
          <t>چندرویدادی مرکب</t>
        </is>
      </c>
      <c r="F62" s="6" t="inlineStr">
        <is>
          <t>خیر</t>
        </is>
      </c>
      <c r="G62" s="6" t="inlineStr">
        <is>
          <t>ثبت سند حقوق و دستمزد، تفکیک بیمه، مالیات تکلیفی و خالص پرداختنی پرسنل</t>
        </is>
      </c>
      <c r="I62" s="11" t="n"/>
      <c r="J62" s="11" t="n"/>
      <c r="L62" t="inlineStr">
        <is>
          <t>خیر — قاعده‌اش ساخته نشده</t>
        </is>
      </c>
    </row>
    <row r="63">
      <c r="A63" s="29" t="inlineStr">
        <is>
          <t>T062</t>
        </is>
      </c>
      <c r="B63" s="12" t="inlineStr">
        <is>
          <t>۷. حقوق، دستمزد و بیمه</t>
        </is>
      </c>
      <c r="C63" s="12" t="inlineStr">
        <is>
          <t>متوسط</t>
        </is>
      </c>
      <c r="D63" s="5" t="inlineStr">
        <is>
          <t>سی و پنج میلیون تومن بیمه تامین اجتماعی پرسنل (سهم کارفرما، بیکاری و کارگر) به تامین اجتماعی پرداخت شد.</t>
        </is>
      </c>
      <c r="E63" s="6" t="inlineStr">
        <is>
          <t>تک‌رویدادی</t>
        </is>
      </c>
      <c r="F63" s="6" t="inlineStr">
        <is>
          <t>خیر</t>
        </is>
      </c>
      <c r="G63" s="6" t="inlineStr">
        <is>
          <t>بدهکار حساب بیمه پرداختنی سازمان تامین اجتماعی و بستانکار حساب بانک</t>
        </is>
      </c>
      <c r="I63" s="11" t="n"/>
      <c r="J63" s="11" t="n"/>
      <c r="L63" t="inlineStr">
        <is>
          <t>خیر — قاعده‌اش ساخته نشده</t>
        </is>
      </c>
    </row>
    <row r="64">
      <c r="A64" s="29" t="inlineStr">
        <is>
          <t>T063</t>
        </is>
      </c>
      <c r="B64" s="12" t="inlineStr">
        <is>
          <t>۷. حقوق، دستمزد و بیمه</t>
        </is>
      </c>
      <c r="C64" s="12" t="inlineStr">
        <is>
          <t>سخت</t>
        </is>
      </c>
      <c r="D64" s="5" t="inlineStr">
        <is>
          <t>ده میلیون تومن مساعده به انباردار دادیم وسط ماه، نقدی از صندوق، سر ماه از حقوقش کم بشه.</t>
        </is>
      </c>
      <c r="E64" s="6" t="inlineStr">
        <is>
          <t>تک‌رویدادی</t>
        </is>
      </c>
      <c r="F64" s="6" t="inlineStr">
        <is>
          <t>خیر</t>
        </is>
      </c>
      <c r="G64" s="6" t="inlineStr">
        <is>
          <t>ثبت حساب مساعده حقوق پرسنل در بدهکار و بستانکاری صندوق نقد شرکت</t>
        </is>
      </c>
      <c r="I64" s="11" t="n"/>
      <c r="J64" s="11" t="n"/>
      <c r="L64" t="inlineStr">
        <is>
          <t>خیر — قاعده‌اش ساخته نشده</t>
        </is>
      </c>
    </row>
    <row r="65">
      <c r="A65" s="29" t="inlineStr">
        <is>
          <t>T064</t>
        </is>
      </c>
      <c r="B65" s="12" t="inlineStr">
        <is>
          <t>۷. حقوق، دستمزد و بیمه</t>
        </is>
      </c>
      <c r="C65" s="12" t="inlineStr">
        <is>
          <t>چالش‌برانگیز</t>
        </is>
      </c>
      <c r="D65" s="5" t="inlineStr">
        <is>
          <t>به سه تا از بچه‌های فروش پاداش نقدی دادیم تو پاکت جمعا بیست و پنج میلیون، تو لیست حقوقم نیاوردیم، چطوری سند بزنم؟</t>
        </is>
      </c>
      <c r="E65" s="6" t="inlineStr">
        <is>
          <t>ابهام نیازمند سؤال</t>
        </is>
      </c>
      <c r="F65" s="6" t="inlineStr">
        <is>
          <t>بله</t>
        </is>
      </c>
      <c r="G65" s="6" t="inlineStr">
        <is>
          <t>طرح سؤال و اخطار پیرامون شمول مالیات بر حقوق و بیمه ماده ۱۴۸ و ثبت پاداش ناخالص</t>
        </is>
      </c>
      <c r="I65" s="11" t="n"/>
      <c r="J65" s="11" t="n"/>
      <c r="L65" t="inlineStr">
        <is>
          <t>خیر — قاعده‌اش ساخته نشده</t>
        </is>
      </c>
    </row>
    <row r="66">
      <c r="A66" s="29" t="inlineStr">
        <is>
          <t>T065</t>
        </is>
      </c>
      <c r="B66" s="12" t="inlineStr">
        <is>
          <t>۷. حقوق، دستمزد و بیمه</t>
        </is>
      </c>
      <c r="C66" s="12" t="inlineStr">
        <is>
          <t>متوسط</t>
        </is>
      </c>
      <c r="D66" s="5" t="inlineStr">
        <is>
          <t>عیدی و پاداش آخر سال کل پرسنل شد دویست و ده میلیون، مالیات عیدی هم پونزده میلیون کسر شد و خالص واریز شد.</t>
        </is>
      </c>
      <c r="E66" s="6" t="inlineStr">
        <is>
          <t>چندرویدادی مرکب</t>
        </is>
      </c>
      <c r="F66" s="6" t="inlineStr">
        <is>
          <t>خیر</t>
        </is>
      </c>
      <c r="G66" s="6" t="inlineStr">
        <is>
          <t>ثبت هزینه عیدی و پاداش، کسر مالیات تکلیفی حقوق و تسویه بانک</t>
        </is>
      </c>
      <c r="I66" s="11" t="n"/>
      <c r="J66" s="11" t="n"/>
      <c r="L66" t="inlineStr">
        <is>
          <t>خیر — قاعده‌اش ساخته نشده</t>
        </is>
      </c>
    </row>
    <row r="67">
      <c r="A67" s="29" t="inlineStr">
        <is>
          <t>T066</t>
        </is>
      </c>
      <c r="B67" s="12" t="inlineStr">
        <is>
          <t>۷. حقوق، دستمزد و بیمه</t>
        </is>
      </c>
      <c r="C67" s="12" t="inlineStr">
        <is>
          <t>سخت</t>
        </is>
      </c>
      <c r="D67" s="5" t="inlineStr">
        <is>
          <t>یکی از کارگرا تسویه‌حساب کرد رفت، بیست و چهار میلیون حق سنوات و هشت میلیون مانده مرخصیشو ریختیم به کارتش.</t>
        </is>
      </c>
      <c r="E67" s="6" t="inlineStr">
        <is>
          <t>چندرویدادی مرکب</t>
        </is>
      </c>
      <c r="F67" s="6" t="inlineStr">
        <is>
          <t>خیر</t>
        </is>
      </c>
      <c r="G67" s="6" t="inlineStr">
        <is>
          <t>ثبت هزینه بازخرید سنوات خدمت و بازخرید مرخصی کارکنان به طرفیت بانک</t>
        </is>
      </c>
      <c r="I67" s="11" t="n"/>
      <c r="J67" s="11" t="n"/>
      <c r="L67" t="inlineStr">
        <is>
          <t>خیر — قاعده‌اش ساخته نشده</t>
        </is>
      </c>
    </row>
    <row r="68">
      <c r="A68" s="29" t="inlineStr">
        <is>
          <t>T067</t>
        </is>
      </c>
      <c r="B68" s="12" t="inlineStr">
        <is>
          <t>۷. حقوق، دستمزد و بیمه</t>
        </is>
      </c>
      <c r="C68" s="12" t="inlineStr">
        <is>
          <t>چالش‌برانگیز</t>
        </is>
      </c>
      <c r="D68" s="5" t="inlineStr">
        <is>
          <t>آقای شمس از شرکت وام قرض‌الحسنه پنجاه میلیونی خواسته، فعلا دادیم ولی مشخص نکردن چن ماهه برمی‌گردونه!</t>
        </is>
      </c>
      <c r="E68" s="6" t="inlineStr">
        <is>
          <t>ابهام نیازمند سؤال</t>
        </is>
      </c>
      <c r="F68" s="6" t="inlineStr">
        <is>
          <t>بله</t>
        </is>
      </c>
      <c r="G68" s="6" t="inlineStr">
        <is>
          <t>ثبت وام کارکنان در سرفصل سایر حساب‌های دریافتنی و استعلام جدول کسر از حقوق</t>
        </is>
      </c>
      <c r="I68" s="11" t="n"/>
      <c r="J68" s="11" t="n"/>
      <c r="L68" t="inlineStr">
        <is>
          <t>خیر — قاعده‌اش ساخته نشده</t>
        </is>
      </c>
    </row>
    <row r="69">
      <c r="A69" s="29" t="inlineStr">
        <is>
          <t>T068</t>
        </is>
      </c>
      <c r="B69" s="12" t="inlineStr">
        <is>
          <t>۷. حقوق، دستمزد و بیمه</t>
        </is>
      </c>
      <c r="C69" s="12" t="inlineStr">
        <is>
          <t>متوسط</t>
        </is>
      </c>
      <c r="D69" s="5" t="inlineStr">
        <is>
          <t>پایان سال، ذخیره مرخصی و ذخیره سنوات کل کارکنان به مبلغ نود میلیون تومن شناسایی و در دفاتر منظور شد.</t>
        </is>
      </c>
      <c r="E69" s="6" t="inlineStr">
        <is>
          <t>تک‌رویدادی</t>
        </is>
      </c>
      <c r="F69" s="6" t="inlineStr">
        <is>
          <t>خیر</t>
        </is>
      </c>
      <c r="G69" s="6" t="inlineStr">
        <is>
          <t>بدهکار هزینه مزایای پایان خدمت و بستانکار ذخیره مزایای پایان خدمت کارکنان</t>
        </is>
      </c>
      <c r="I69" s="11" t="n"/>
      <c r="J69" s="11" t="n"/>
      <c r="L69" t="inlineStr">
        <is>
          <t>خیر — قاعده‌اش ساخته نشده</t>
        </is>
      </c>
    </row>
    <row r="70">
      <c r="A70" s="29" t="inlineStr">
        <is>
          <t>T069</t>
        </is>
      </c>
      <c r="B70" s="12" t="inlineStr">
        <is>
          <t>۷. حقوق، دستمزد و بیمه</t>
        </is>
      </c>
      <c r="C70" s="12" t="inlineStr">
        <is>
          <t>سخت</t>
        </is>
      </c>
      <c r="D70" s="5" t="inlineStr">
        <is>
          <t>حق‌الزحمه مشاوره حقوقی آقای دکتر معتمدی شد سی میلیون، ده درصد مالیات ماده ۱۰۴ کم کردیم، بیست و هفت تومن واریز شد.</t>
        </is>
      </c>
      <c r="E70" s="6" t="inlineStr">
        <is>
          <t>چندرویدادی مرکب</t>
        </is>
      </c>
      <c r="F70" s="6" t="inlineStr">
        <is>
          <t>خیر</t>
        </is>
      </c>
      <c r="G70" s="6" t="inlineStr">
        <is>
          <t>ثبت هزینه حق‌المشاوره، مالیات تکلیفی پرداختنی و خروج وجه از بانک</t>
        </is>
      </c>
      <c r="I70" s="11" t="n"/>
      <c r="J70" s="11" t="n"/>
      <c r="L70" t="inlineStr">
        <is>
          <t>خیر — قاعده‌اش ساخته نشده</t>
        </is>
      </c>
    </row>
    <row r="71">
      <c r="A71" s="29" t="inlineStr">
        <is>
          <t>T070</t>
        </is>
      </c>
      <c r="B71" s="12" t="inlineStr">
        <is>
          <t>۷. حقوق، دستمزد و بیمه</t>
        </is>
      </c>
      <c r="C71" s="12" t="inlineStr">
        <is>
          <t>چالش‌برانگیز</t>
        </is>
      </c>
      <c r="D71" s="5" t="inlineStr">
        <is>
          <t>یه کارگر روزمزد افغانستانی آوردیم بار خالی کنه، دو تومن بهش دادیم، نه کد ملی داره نه امضا کرده، ثبت کن!</t>
        </is>
      </c>
      <c r="E71" s="6" t="inlineStr">
        <is>
          <t>ابهام غیرقابل ثبت</t>
        </is>
      </c>
      <c r="F71" s="6" t="inlineStr">
        <is>
          <t>بله</t>
        </is>
      </c>
      <c r="G71" s="6" t="inlineStr">
        <is>
          <t>رد ثبت به عنوان هزینه قابل قبول مالیاتی و الزام به صدور قبض پرداخت با مدارک هویتی</t>
        </is>
      </c>
      <c r="I71" s="11" t="n"/>
      <c r="J71" s="11" t="n"/>
      <c r="L71" t="inlineStr">
        <is>
          <t>خیر — قاعده‌اش ساخته نشده</t>
        </is>
      </c>
    </row>
    <row r="72">
      <c r="A72" s="29" t="inlineStr">
        <is>
          <t>T071</t>
        </is>
      </c>
      <c r="B72" s="12" t="inlineStr">
        <is>
          <t>۸. مالیات و ارزش افزوده</t>
        </is>
      </c>
      <c r="C72" s="12" t="inlineStr">
        <is>
          <t>آسان</t>
        </is>
      </c>
      <c r="D72" s="5" t="inlineStr">
        <is>
          <t>اظهارنامه ارزش افزوده فصل زمستان ارسال شد، مبلغ بدهی قابل پرداخت بیست و هفت میلیون تومن شد.</t>
        </is>
      </c>
      <c r="E72" s="6" t="inlineStr">
        <is>
          <t>تک‌رویدادی</t>
        </is>
      </c>
      <c r="F72" s="6" t="inlineStr">
        <is>
          <t>خیر</t>
        </is>
      </c>
      <c r="G72" s="6" t="inlineStr">
        <is>
          <t>تهاتر مالیات و عوارض ارزش افزوده خرید و فروش و شناسایی مالیات پرداختنی فصل</t>
        </is>
      </c>
      <c r="I72" s="11" t="n"/>
      <c r="J72" s="11" t="n"/>
      <c r="L72" t="inlineStr">
        <is>
          <t>تا حدی — تفکیک ارزش افزوده</t>
        </is>
      </c>
    </row>
    <row r="73">
      <c r="A73" s="29" t="inlineStr">
        <is>
          <t>T072</t>
        </is>
      </c>
      <c r="B73" s="12" t="inlineStr">
        <is>
          <t>۸. مالیات و ارزش افزوده</t>
        </is>
      </c>
      <c r="C73" s="12" t="inlineStr">
        <is>
          <t>متوسط</t>
        </is>
      </c>
      <c r="D73" s="5" t="inlineStr">
        <is>
          <t>مالیات عملکرد سال قبل قطعی شد و برگ تشخیص اومد، هشتاد و پنج میلیون تومن از حساب بانک ملی پرداخت و تسویه کردیم.</t>
        </is>
      </c>
      <c r="E73" s="6" t="inlineStr">
        <is>
          <t>تک‌رویدادی</t>
        </is>
      </c>
      <c r="F73" s="6" t="inlineStr">
        <is>
          <t>خیر</t>
        </is>
      </c>
      <c r="G73" s="6" t="inlineStr">
        <is>
          <t>تسویه حساب ذخیره مالیات بر درآمد عملکرد سال گذشته از طریق بانک</t>
        </is>
      </c>
      <c r="I73" s="11" t="n"/>
      <c r="J73" s="11" t="n"/>
      <c r="L73" t="inlineStr">
        <is>
          <t>تا حدی — تفکیک ارزش افزوده</t>
        </is>
      </c>
    </row>
    <row r="74">
      <c r="A74" s="29" t="inlineStr">
        <is>
          <t>T073</t>
        </is>
      </c>
      <c r="B74" s="12" t="inlineStr">
        <is>
          <t>۸. مالیات و ارزش افزوده</t>
        </is>
      </c>
      <c r="C74" s="12" t="inlineStr">
        <is>
          <t>سخت</t>
        </is>
      </c>
      <c r="D74" s="5" t="inlineStr">
        <is>
          <t>ممیز مالیاتی بیست میلیون تومن جریمه عدم تسلیم به موقع اظهارنامه برامون برید، هیچ جوره هم نبخشیدن، مجبور شدیم بدیم.</t>
        </is>
      </c>
      <c r="E74" s="6" t="inlineStr">
        <is>
          <t>تک‌رویدادی</t>
        </is>
      </c>
      <c r="F74" s="6" t="inlineStr">
        <is>
          <t>خیر</t>
        </is>
      </c>
      <c r="G74" s="6" t="inlineStr">
        <is>
          <t>ثبت هزینه جرایم مالیاتی (سایر هزینه‌های غیرعملیاتی غیرقابل قبول مالیاتی) / بانک</t>
        </is>
      </c>
      <c r="I74" s="11" t="n"/>
      <c r="J74" s="11" t="n"/>
      <c r="L74" t="inlineStr">
        <is>
          <t>تا حدی — تفکیک ارزش افزوده</t>
        </is>
      </c>
    </row>
    <row r="75">
      <c r="A75" s="29" t="inlineStr">
        <is>
          <t>T074</t>
        </is>
      </c>
      <c r="B75" s="12" t="inlineStr">
        <is>
          <t>۸. مالیات و ارزش افزوده</t>
        </is>
      </c>
      <c r="C75" s="12" t="inlineStr">
        <is>
          <t>چالش‌برانگیز</t>
        </is>
      </c>
      <c r="D75" s="5" t="inlineStr">
        <is>
          <t>یه دستگاه خریدیم صد میلیون تومن، فروشنده فاکتور غیررسمی داده و مالیات ارزش افزوده نگرفته، ما چطور ثبت کنیم؟</t>
        </is>
      </c>
      <c r="E75" s="6" t="inlineStr">
        <is>
          <t>ابهام نیازمند سؤال</t>
        </is>
      </c>
      <c r="F75" s="6" t="inlineStr">
        <is>
          <t>بله</t>
        </is>
      </c>
      <c r="G75" s="6" t="inlineStr">
        <is>
          <t>طرح سؤال پیرامون سامانه مودیان، رد ثبت اعتبار مالیاتی و هشدار ریسک ماده ۱۶۹</t>
        </is>
      </c>
      <c r="I75" s="11" t="n"/>
      <c r="J75" s="11" t="n"/>
      <c r="L75" t="inlineStr">
        <is>
          <t>تا حدی — تفکیک ارزش افزوده</t>
        </is>
      </c>
    </row>
    <row r="76">
      <c r="A76" s="29" t="inlineStr">
        <is>
          <t>T075</t>
        </is>
      </c>
      <c r="B76" s="12" t="inlineStr">
        <is>
          <t>۸. مالیات و ارزش افزوده</t>
        </is>
      </c>
      <c r="C76" s="12" t="inlineStr">
        <is>
          <t>متوسط</t>
        </is>
      </c>
      <c r="D76" s="5" t="inlineStr">
        <is>
          <t>مالیات تکلیفی اجاره ساختمان مرکزی به مبلغ یک میلیون و دویست هزار تومن کسر و به حساب امور مالیاتی واریز شد.</t>
        </is>
      </c>
      <c r="E76" s="6" t="inlineStr">
        <is>
          <t>تک‌رویدادی</t>
        </is>
      </c>
      <c r="F76" s="6" t="inlineStr">
        <is>
          <t>خیر</t>
        </is>
      </c>
      <c r="G76" s="6" t="inlineStr">
        <is>
          <t>بدهکار مالیات تکلیفی اجاره پرداختنی و بستانکار حساب بانک</t>
        </is>
      </c>
      <c r="I76" s="11" t="n"/>
      <c r="J76" s="11" t="n"/>
      <c r="L76" t="inlineStr">
        <is>
          <t>تا حدی — تفکیک ارزش افزوده</t>
        </is>
      </c>
    </row>
    <row r="77">
      <c r="A77" s="29" t="inlineStr">
        <is>
          <t>T076</t>
        </is>
      </c>
      <c r="B77" s="12" t="inlineStr">
        <is>
          <t>۸. مالیات و ارزش افزوده</t>
        </is>
      </c>
      <c r="C77" s="12" t="inlineStr">
        <is>
          <t>سخت</t>
        </is>
      </c>
      <c r="D77" s="5" t="inlineStr">
        <is>
          <t>اداره دارایی ده میلیون تومن از مالیات ارزش افزوده فصول قبل رو بابت اضافه پرداختی به حساب شرکت عودت داد.</t>
        </is>
      </c>
      <c r="E77" s="6" t="inlineStr">
        <is>
          <t>تک‌رویدادی</t>
        </is>
      </c>
      <c r="F77" s="6" t="inlineStr">
        <is>
          <t>خیر</t>
        </is>
      </c>
      <c r="G77" s="6" t="inlineStr">
        <is>
          <t>بدهکار بانک و بستانکار سایر حساب‌های دریافتنی (مطالبات از سازمان مالیاتی)</t>
        </is>
      </c>
      <c r="I77" s="11" t="n"/>
      <c r="J77" s="11" t="n"/>
      <c r="L77" t="inlineStr">
        <is>
          <t>تا حدی — تفکیک ارزش افزوده</t>
        </is>
      </c>
    </row>
    <row r="78">
      <c r="A78" s="29" t="inlineStr">
        <is>
          <t>T077</t>
        </is>
      </c>
      <c r="B78" s="12" t="inlineStr">
        <is>
          <t>۸. مالیات و ارزش افزوده</t>
        </is>
      </c>
      <c r="C78" s="12" t="inlineStr">
        <is>
          <t>چالش‌برانگیز</t>
        </is>
      </c>
      <c r="D78" s="5" t="inlineStr">
        <is>
          <t>صاحب شرکت میگه فاکتورهای فروش زیر ده تومن رو تو سامانه مودیان رد نکن تا ارزش افزوده ندیم، فاکتورها رو ثبت کن!</t>
        </is>
      </c>
      <c r="E78" s="6" t="inlineStr">
        <is>
          <t>ابهام غیرقابل ثبت</t>
        </is>
      </c>
      <c r="F78" s="6" t="inlineStr">
        <is>
          <t>بله</t>
        </is>
      </c>
      <c r="G78" s="6" t="inlineStr">
        <is>
          <t>رد درخواست پنهان‌سازی و هشدار نقض صریح قانون پایانه‌های فروشگاهی و سامانه مودیان</t>
        </is>
      </c>
      <c r="I78" s="11" t="n"/>
      <c r="J78" s="11" t="n"/>
      <c r="L78" t="inlineStr">
        <is>
          <t>تا حدی — تفکیک ارزش افزوده</t>
        </is>
      </c>
    </row>
    <row r="79">
      <c r="A79" s="29" t="inlineStr">
        <is>
          <t>T078</t>
        </is>
      </c>
      <c r="B79" s="12" t="inlineStr">
        <is>
          <t>۸. مالیات و ارزش افزوده</t>
        </is>
      </c>
      <c r="C79" s="12" t="inlineStr">
        <is>
          <t>متوسط</t>
        </is>
      </c>
      <c r="D79" s="5" t="inlineStr">
        <is>
          <t>سود پیش‌بینی شده پایان سال ششصد میلیون شد، ذخیره مالیات عملکرد به نرخ بیست و پنج درصد یعنی صد و پنجاه میلیون منظور کن.</t>
        </is>
      </c>
      <c r="E79" s="6" t="inlineStr">
        <is>
          <t>تک‌رویدادی</t>
        </is>
      </c>
      <c r="F79" s="6" t="inlineStr">
        <is>
          <t>خیر</t>
        </is>
      </c>
      <c r="G79" s="6" t="inlineStr">
        <is>
          <t>بدهکار هزینه مالیات بر درآمد و بستانکار ذخیره مالیات بر درآمد پرداختنی</t>
        </is>
      </c>
      <c r="I79" s="11" t="n"/>
      <c r="J79" s="11" t="n"/>
      <c r="L79" t="inlineStr">
        <is>
          <t>تا حدی — تفکیک ارزش افزوده</t>
        </is>
      </c>
    </row>
    <row r="80">
      <c r="A80" s="29" t="inlineStr">
        <is>
          <t>T079</t>
        </is>
      </c>
      <c r="B80" s="12" t="inlineStr">
        <is>
          <t>۸. مالیات و ارزش افزوده</t>
        </is>
      </c>
      <c r="C80" s="12" t="inlineStr">
        <is>
          <t>سخت</t>
        </is>
      </c>
      <c r="D80" s="5" t="inlineStr">
        <is>
          <t>عوارض آلایندگی یا پسماند شهرداری به مبلغ چهار میلیون و ششصد هزار تومن برای کارگاه رسید و نقدی پرداخت شد.</t>
        </is>
      </c>
      <c r="E80" s="6" t="inlineStr">
        <is>
          <t>تک‌رویدادی</t>
        </is>
      </c>
      <c r="F80" s="6" t="inlineStr">
        <is>
          <t>خیر</t>
        </is>
      </c>
      <c r="G80" s="6" t="inlineStr">
        <is>
          <t>بدهکار هزینه عوارض شهرداری و دولتی و بستانکار حساب بانک شرکت</t>
        </is>
      </c>
      <c r="I80" s="11" t="n"/>
      <c r="J80" s="11" t="n"/>
      <c r="L80" t="inlineStr">
        <is>
          <t>تا حدی — تفکیک ارزش افزوده</t>
        </is>
      </c>
    </row>
    <row r="81">
      <c r="A81" s="29" t="inlineStr">
        <is>
          <t>T080</t>
        </is>
      </c>
      <c r="B81" s="12" t="inlineStr">
        <is>
          <t>۸. مالیات و ارزش افزوده</t>
        </is>
      </c>
      <c r="C81" s="12" t="inlineStr">
        <is>
          <t>چالش‌برانگیز</t>
        </is>
      </c>
      <c r="D81" s="5" t="inlineStr">
        <is>
          <t>یه مابه‌التفاوت ماده ۱۶۹ مکرر برامون زدن چهل میلیون، نمیدونیم اصل معامله با کی بوده و چرا مغایرت خورده!</t>
        </is>
      </c>
      <c r="E81" s="6" t="inlineStr">
        <is>
          <t>ابهام نیازمند سؤال</t>
        </is>
      </c>
      <c r="F81" s="6" t="inlineStr">
        <is>
          <t>بله</t>
        </is>
      </c>
      <c r="G81" s="6" t="inlineStr">
        <is>
          <t>طرح سؤال تکمیلی جهت تطبیق گزارشات فصلی و ثبت بدهی احتمالی تا روشن شدن ممیزی</t>
        </is>
      </c>
      <c r="I81" s="11" t="n"/>
      <c r="J81" s="11" t="n"/>
      <c r="L81" t="inlineStr">
        <is>
          <t>تا حدی — تفکیک ارزش افزوده</t>
        </is>
      </c>
    </row>
    <row r="82">
      <c r="A82" s="29" t="inlineStr">
        <is>
          <t>T081</t>
        </is>
      </c>
      <c r="B82" s="12" t="inlineStr">
        <is>
          <t>۹. حقوق صاحبان سهام و جاری شرکا</t>
        </is>
      </c>
      <c r="C82" s="12" t="inlineStr">
        <is>
          <t>آسان</t>
        </is>
      </c>
      <c r="D82" s="5" t="inlineStr">
        <is>
          <t>سرمایه نقدی شرکت طبق آگهی تغییرات روزنامه رسمی از پانصد میلیون به یک میلیارد تومن با واریز نقدی سهامداران افزایش یافت.</t>
        </is>
      </c>
      <c r="E82" s="6" t="inlineStr">
        <is>
          <t>تک‌رویدادی</t>
        </is>
      </c>
      <c r="F82" s="6" t="inlineStr">
        <is>
          <t>خیر</t>
        </is>
      </c>
      <c r="G82" s="6" t="inlineStr">
        <is>
          <t>بدهکار حساب بانک افزایش سرمایه و بستانکار حساب سرمایه ثبت‌شده شرکت</t>
        </is>
      </c>
      <c r="I82" s="11" t="n"/>
      <c r="J82" s="11" t="n"/>
      <c r="L82" t="inlineStr">
        <is>
          <t>خیر — قاعده‌اش ساخته نشده</t>
        </is>
      </c>
    </row>
    <row r="83">
      <c r="A83" s="29" t="inlineStr">
        <is>
          <t>T082</t>
        </is>
      </c>
      <c r="B83" s="12" t="inlineStr">
        <is>
          <t>۹. حقوق صاحبان سهام و جاری شرکا</t>
        </is>
      </c>
      <c r="C83" s="12" t="inlineStr">
        <is>
          <t>متوسط</t>
        </is>
      </c>
      <c r="D83" s="5" t="inlineStr">
        <is>
          <t>آقای یوسفی سهامدار عمده، پنجاه میلیون از حساب شخصیش برای خرید مواد اولیه به حساب شرکت انتقال داد.</t>
        </is>
      </c>
      <c r="E83" s="6" t="inlineStr">
        <is>
          <t>تک‌رویدادی</t>
        </is>
      </c>
      <c r="F83" s="6" t="inlineStr">
        <is>
          <t>خیر</t>
        </is>
      </c>
      <c r="G83" s="6" t="inlineStr">
        <is>
          <t>بدهکار حساب جاری بانک شرکت و بستانکار حساب جاری شرکا / آقای یوسفی</t>
        </is>
      </c>
      <c r="I83" s="11" t="n"/>
      <c r="J83" s="11" t="n"/>
      <c r="L83" t="inlineStr">
        <is>
          <t>خیر — قاعده‌اش ساخته نشده</t>
        </is>
      </c>
    </row>
    <row r="84">
      <c r="A84" s="29" t="inlineStr">
        <is>
          <t>T083</t>
        </is>
      </c>
      <c r="B84" s="12" t="inlineStr">
        <is>
          <t>۹. حقوق صاحبان سهام و جاری شرکا</t>
        </is>
      </c>
      <c r="C84" s="12" t="inlineStr">
        <is>
          <t>سخت</t>
        </is>
      </c>
      <c r="D84" s="5" t="inlineStr">
        <is>
          <t>خانم دکتر افشار شریک شرکت، هفتاد میلیون از حساب شرکت بابت خرید وسایل ویلای شخصیش برداشت کرد.</t>
        </is>
      </c>
      <c r="E84" s="6" t="inlineStr">
        <is>
          <t>تک‌رویدادی</t>
        </is>
      </c>
      <c r="F84" s="6" t="inlineStr">
        <is>
          <t>خیر</t>
        </is>
      </c>
      <c r="G84" s="6" t="inlineStr">
        <is>
          <t>بدهکار حساب جاری شرکا / خانم دکتر افشار و بستانکار حساب بانک شرکت</t>
        </is>
      </c>
      <c r="I84" s="11" t="n"/>
      <c r="J84" s="11" t="n"/>
      <c r="L84" t="inlineStr">
        <is>
          <t>خیر — قاعده‌اش ساخته نشده</t>
        </is>
      </c>
    </row>
    <row r="85">
      <c r="A85" s="29" t="inlineStr">
        <is>
          <t>T084</t>
        </is>
      </c>
      <c r="B85" s="12" t="inlineStr">
        <is>
          <t>۹. حقوق صاحبان سهام و جاری شرکا</t>
        </is>
      </c>
      <c r="C85" s="12" t="inlineStr">
        <is>
          <t>چالش‌برانگیز</t>
        </is>
      </c>
      <c r="D85" s="5" t="inlineStr">
        <is>
          <t>مجمع عمومی تصویب کرد صد میلیون سود نقدی تقسیم بشه، ولی الان پول تو بانک نیست بدیم، چیکار کنیم؟</t>
        </is>
      </c>
      <c r="E85" s="6" t="inlineStr">
        <is>
          <t>ابهام نیازمند سؤال</t>
        </is>
      </c>
      <c r="F85" s="6" t="inlineStr">
        <is>
          <t>بله</t>
        </is>
      </c>
      <c r="G85" s="6" t="inlineStr">
        <is>
          <t>ثبت سود سهام مصوب پرداختنی به طرفیت سود انباشته و طرح سؤال زمان‌بندی واریز</t>
        </is>
      </c>
      <c r="I85" s="11" t="n"/>
      <c r="J85" s="11" t="n"/>
      <c r="L85" t="inlineStr">
        <is>
          <t>خیر — قاعده‌اش ساخته نشده</t>
        </is>
      </c>
    </row>
    <row r="86">
      <c r="A86" s="29" t="inlineStr">
        <is>
          <t>T085</t>
        </is>
      </c>
      <c r="B86" s="12" t="inlineStr">
        <is>
          <t>۹. حقوق صاحبان سهام و جاری شرکا</t>
        </is>
      </c>
      <c r="C86" s="12" t="inlineStr">
        <is>
          <t>متوسط</t>
        </is>
      </c>
      <c r="D86" s="5" t="inlineStr">
        <is>
          <t>طبق قانون تجارت، پنج درصد از سود خالص دوره یعنی بیست میلیون تومن به عنوان اندوخته قانونی منتقل شد.</t>
        </is>
      </c>
      <c r="E86" s="6" t="inlineStr">
        <is>
          <t>تک‌رویدادی</t>
        </is>
      </c>
      <c r="F86" s="6" t="inlineStr">
        <is>
          <t>خیر</t>
        </is>
      </c>
      <c r="G86" s="6" t="inlineStr">
        <is>
          <t>بدهکار حساب سود انباشته و بستانکار حساب اندوخته قانونی شرکت</t>
        </is>
      </c>
      <c r="I86" s="11" t="n"/>
      <c r="J86" s="11" t="n"/>
      <c r="L86" t="inlineStr">
        <is>
          <t>خیر — قاعده‌اش ساخته نشده</t>
        </is>
      </c>
    </row>
    <row r="87">
      <c r="A87" s="29" t="inlineStr">
        <is>
          <t>T086</t>
        </is>
      </c>
      <c r="B87" s="12" t="inlineStr">
        <is>
          <t>۹. حقوق صاحبان سهام و جاری شرکا</t>
        </is>
      </c>
      <c r="C87" s="12" t="inlineStr">
        <is>
          <t>سخت</t>
        </is>
      </c>
      <c r="D87" s="5" t="inlineStr">
        <is>
          <t>شریک سوم از شرکت انصراف داد، سهم‌الشرکه صد و بیست میلیونیش با شصت میلیون نقد و شصت میلیون چک شش‌ماهه تسویه شد.</t>
        </is>
      </c>
      <c r="E87" s="6" t="inlineStr">
        <is>
          <t>چندرویدادی مرکب</t>
        </is>
      </c>
      <c r="F87" s="6" t="inlineStr">
        <is>
          <t>خیر</t>
        </is>
      </c>
      <c r="G87" s="6" t="inlineStr">
        <is>
          <t>کاهش سرمایه / سهم‌الشرکه به طرفیت خروج وجه از بانک و صدور اسناد پرداختنی</t>
        </is>
      </c>
      <c r="I87" s="11" t="n"/>
      <c r="J87" s="11" t="n"/>
      <c r="L87" t="inlineStr">
        <is>
          <t>خیر — قاعده‌اش ساخته نشده</t>
        </is>
      </c>
    </row>
    <row r="88">
      <c r="A88" s="29" t="inlineStr">
        <is>
          <t>T087</t>
        </is>
      </c>
      <c r="B88" s="12" t="inlineStr">
        <is>
          <t>۹. حقوق صاحبان سهام و جاری شرکا</t>
        </is>
      </c>
      <c r="C88" s="12" t="inlineStr">
        <is>
          <t>چالش‌برانگیز</t>
        </is>
      </c>
      <c r="D88" s="5" t="inlineStr">
        <is>
          <t>آقای احمدی ماشین شخصی خودشو آورده تحویل شرکت داده که استفاده بشه، نمیدونیم اجاره داده یا آورده سرمایه‌ایشه!</t>
        </is>
      </c>
      <c r="E88" s="6" t="inlineStr">
        <is>
          <t>ابهام نیازمند سؤال</t>
        </is>
      </c>
      <c r="F88" s="6" t="inlineStr">
        <is>
          <t>بله</t>
        </is>
      </c>
      <c r="G88" s="6" t="inlineStr">
        <is>
          <t>طرح سؤال تفکیک ماهیت قرارداد: عقد اجاره خودرو یا افزایش آورده غیرنقدی سهامدار</t>
        </is>
      </c>
      <c r="I88" s="11" t="n"/>
      <c r="J88" s="11" t="n"/>
      <c r="L88" t="inlineStr">
        <is>
          <t>خیر — قاعده‌اش ساخته نشده</t>
        </is>
      </c>
    </row>
    <row r="89">
      <c r="A89" s="29" t="inlineStr">
        <is>
          <t>T088</t>
        </is>
      </c>
      <c r="B89" s="12" t="inlineStr">
        <is>
          <t>۹. حقوق صاحبان سهام و جاری شرکا</t>
        </is>
      </c>
      <c r="C89" s="12" t="inlineStr">
        <is>
          <t>متوسط</t>
        </is>
      </c>
      <c r="D89" s="5" t="inlineStr">
        <is>
          <t>زیان انباشته شرکت در پایان سال مالی به صد و پنجاه میلیون تومن رسید و به تایید بازرس قانونی رسید.</t>
        </is>
      </c>
      <c r="E89" s="6" t="inlineStr">
        <is>
          <t>تک‌رویدادی</t>
        </is>
      </c>
      <c r="F89" s="6" t="inlineStr">
        <is>
          <t>خیر</t>
        </is>
      </c>
      <c r="G89" s="6" t="inlineStr">
        <is>
          <t>بستن حساب خلاصه سود و زیان سال جاری به سرفصل سود (زیان) انباشته</t>
        </is>
      </c>
      <c r="I89" s="11" t="n"/>
      <c r="J89" s="11" t="n"/>
      <c r="L89" t="inlineStr">
        <is>
          <t>خیر — قاعده‌اش ساخته نشده</t>
        </is>
      </c>
    </row>
    <row r="90">
      <c r="A90" s="29" t="inlineStr">
        <is>
          <t>T089</t>
        </is>
      </c>
      <c r="B90" s="12" t="inlineStr">
        <is>
          <t>۹. حقوق صاحبان سهام و جاری شرکا</t>
        </is>
      </c>
      <c r="C90" s="12" t="inlineStr">
        <is>
          <t>سخت</t>
        </is>
      </c>
      <c r="D90" s="5" t="inlineStr">
        <is>
          <t>مطالبات جاری شرکا به مبلغ دویست میلیون تومن با تصویب مجمع فوق‌العاده به حساب افزایش سرمایه منتقل شد.</t>
        </is>
      </c>
      <c r="E90" s="6" t="inlineStr">
        <is>
          <t>تک‌رویدادی</t>
        </is>
      </c>
      <c r="F90" s="6" t="inlineStr">
        <is>
          <t>خیر</t>
        </is>
      </c>
      <c r="G90" s="6" t="inlineStr">
        <is>
          <t>بدهکار حساب جاری شرکا و بستانکار حساب سرمایه پرداخت‌شده شرکت</t>
        </is>
      </c>
      <c r="I90" s="11" t="n"/>
      <c r="J90" s="11" t="n"/>
      <c r="L90" t="inlineStr">
        <is>
          <t>خیر — قاعده‌اش ساخته نشده</t>
        </is>
      </c>
    </row>
    <row r="91">
      <c r="A91" s="29" t="inlineStr">
        <is>
          <t>T090</t>
        </is>
      </c>
      <c r="B91" s="12" t="inlineStr">
        <is>
          <t>۹. حقوق صاحبان سهام و جاری شرکا</t>
        </is>
      </c>
      <c r="C91" s="12" t="inlineStr">
        <is>
          <t>چالش‌برانگیز</t>
        </is>
      </c>
      <c r="D91" s="5" t="inlineStr">
        <is>
          <t>یکی از شرکا میگه ده میلیون از سود سال قبل رو دستی برداشت کردم، یادم رفته بود بگم، الان درستش کن!</t>
        </is>
      </c>
      <c r="E91" s="6" t="inlineStr">
        <is>
          <t>ابهام غیرقابل ثبت</t>
        </is>
      </c>
      <c r="F91" s="6" t="inlineStr">
        <is>
          <t>بله</t>
        </is>
      </c>
      <c r="G91" s="6" t="inlineStr">
        <is>
          <t>رد ثبت به عنوان هزینه، الزام به تطبیق با مصوبات مجمع و اصلاح سرفصل جاری شرکا</t>
        </is>
      </c>
      <c r="I91" s="11" t="n"/>
      <c r="J91" s="11" t="n"/>
      <c r="L91" t="inlineStr">
        <is>
          <t>خیر — قاعده‌اش ساخته نشده</t>
        </is>
      </c>
    </row>
    <row r="92">
      <c r="A92" s="29" t="inlineStr">
        <is>
          <t>T091</t>
        </is>
      </c>
      <c r="B92" s="12" t="inlineStr">
        <is>
          <t>۱۰. تهاتر، تسویه و مطالبات غیرنقد</t>
        </is>
      </c>
      <c r="C92" s="12" t="inlineStr">
        <is>
          <t>آسان</t>
        </is>
      </c>
      <c r="D92" s="5" t="inlineStr">
        <is>
          <t>با شرکت فولادسازان تهاتر کردیم، شصت میلیون قطعه دادیم و معادل شصت میلیون ورق آهن تحویل گرفتیم، حساب سر به سر شد.</t>
        </is>
      </c>
      <c r="E92" s="6" t="inlineStr">
        <is>
          <t>تک‌رویدادی</t>
        </is>
      </c>
      <c r="F92" s="6" t="inlineStr">
        <is>
          <t>خیر</t>
        </is>
      </c>
      <c r="G92" s="6" t="inlineStr">
        <is>
          <t>ثبت همزمان فروش و خرید با تهاتر حساب‌های دریافتنی و پرداختنی تجاری</t>
        </is>
      </c>
      <c r="I92" s="11" t="n"/>
      <c r="J92" s="11" t="n"/>
      <c r="L92" t="inlineStr">
        <is>
          <t>تا حدی — نگهبان تسویه</t>
        </is>
      </c>
    </row>
    <row r="93">
      <c r="A93" s="29" t="inlineStr">
        <is>
          <t>T092</t>
        </is>
      </c>
      <c r="B93" s="12" t="inlineStr">
        <is>
          <t>۱۰. تهاتر، تسویه و مطالبات غیرنقد</t>
        </is>
      </c>
      <c r="C93" s="12" t="inlineStr">
        <is>
          <t>متوسط</t>
        </is>
      </c>
      <c r="D93" s="5" t="inlineStr">
        <is>
          <t>آقای سلطانی هشتاد میلیون به ما بدهکار بود، به جاش یه وانت پراید به ارزش صد میلیون داد، بیست میلیون سر دادیم از بانک.</t>
        </is>
      </c>
      <c r="E93" s="6" t="inlineStr">
        <is>
          <t>چندرویدادی مرکب</t>
        </is>
      </c>
      <c r="F93" s="6" t="inlineStr">
        <is>
          <t>خیر</t>
        </is>
      </c>
      <c r="G93" s="6" t="inlineStr">
        <is>
          <t>ثبت ورود دارایی ثابت (وانت)، تسویه کامل طلب مشتری و خروج ۲۰ میلیون از بانک</t>
        </is>
      </c>
      <c r="I93" s="11" t="n"/>
      <c r="J93" s="11" t="n"/>
      <c r="L93" t="inlineStr">
        <is>
          <t>تا حدی — نگهبان تسویه</t>
        </is>
      </c>
    </row>
    <row r="94">
      <c r="A94" s="29" t="inlineStr">
        <is>
          <t>T093</t>
        </is>
      </c>
      <c r="B94" s="12" t="inlineStr">
        <is>
          <t>۱۰. تهاتر، تسویه و مطالبات غیرنقد</t>
        </is>
      </c>
      <c r="C94" s="12" t="inlineStr">
        <is>
          <t>سخت</t>
        </is>
      </c>
      <c r="D94" s="5" t="inlineStr">
        <is>
          <t>بدهی پنجاه میلیونی به تامین‌کننده رو با حواله دادن طلب چهل و پنج میلیونی از مشتری تسویه کردیم، پنج تومنم بخشید!</t>
        </is>
      </c>
      <c r="E94" s="6" t="inlineStr">
        <is>
          <t>چندرویدادی مرکب</t>
        </is>
      </c>
      <c r="F94" s="6" t="inlineStr">
        <is>
          <t>خیر</t>
        </is>
      </c>
      <c r="G94" s="6" t="inlineStr">
        <is>
          <t>تهاتر حساب پرداختنی با دریافتنی و شناسایی درآمد تخفیف تسویه بدهی</t>
        </is>
      </c>
      <c r="I94" s="11" t="n"/>
      <c r="J94" s="11" t="n"/>
      <c r="L94" t="inlineStr">
        <is>
          <t>تا حدی — نگهبان تسویه</t>
        </is>
      </c>
    </row>
    <row r="95">
      <c r="A95" s="29" t="inlineStr">
        <is>
          <t>T094</t>
        </is>
      </c>
      <c r="B95" s="12" t="inlineStr">
        <is>
          <t>۱۰. تهاتر، تسویه و مطالبات غیرنقد</t>
        </is>
      </c>
      <c r="C95" s="12" t="inlineStr">
        <is>
          <t>چالش‌برانگیز</t>
        </is>
      </c>
      <c r="D95" s="5" t="inlineStr">
        <is>
          <t>قرار شد بدهی سی میلیونی پیمانکار رو با دادن ضایعات کارخونه صاف کنیم، ولی هنوز وزن و قیمت ضایعات مشخص نشده!</t>
        </is>
      </c>
      <c r="E95" s="6" t="inlineStr">
        <is>
          <t>ابهام نیازمند سؤال</t>
        </is>
      </c>
      <c r="F95" s="6" t="inlineStr">
        <is>
          <t>بله</t>
        </is>
      </c>
      <c r="G95" s="6" t="inlineStr">
        <is>
          <t>طرح سؤال جهت تعیین صورت‌مجلس باسکول و قیمت‌گذاری منصفانه ضایعات تحویلی</t>
        </is>
      </c>
      <c r="I95" s="11" t="n"/>
      <c r="J95" s="11" t="n"/>
      <c r="L95" t="inlineStr">
        <is>
          <t>تا حدی — نگهبان تسویه</t>
        </is>
      </c>
    </row>
    <row r="96">
      <c r="A96" s="29" t="inlineStr">
        <is>
          <t>T095</t>
        </is>
      </c>
      <c r="B96" s="12" t="inlineStr">
        <is>
          <t>۱۰. تهاتر، تسویه و مطالبات غیرنقد</t>
        </is>
      </c>
      <c r="C96" s="12" t="inlineStr">
        <is>
          <t>متوسط</t>
        </is>
      </c>
      <c r="D96" s="5" t="inlineStr">
        <is>
          <t>مالک ساختمان به جای پنجاه میلیون کرایه معوقه، هفتاد کارتن از محصولات شرکت رو برداشت و رسید تسویه داد.</t>
        </is>
      </c>
      <c r="E96" s="6" t="inlineStr">
        <is>
          <t>تک‌رویدادی</t>
        </is>
      </c>
      <c r="F96" s="6" t="inlineStr">
        <is>
          <t>خیر</t>
        </is>
      </c>
      <c r="G96" s="6" t="inlineStr">
        <is>
          <t>تسویه بدهی هزینه اجاره دفتر به طرفیت درآمد فروش کالا / موجودی کالا</t>
        </is>
      </c>
      <c r="I96" s="11" t="n"/>
      <c r="J96" s="11" t="n"/>
      <c r="L96" t="inlineStr">
        <is>
          <t>تا حدی — نگهبان تسویه</t>
        </is>
      </c>
    </row>
    <row r="97">
      <c r="A97" s="29" t="inlineStr">
        <is>
          <t>T096</t>
        </is>
      </c>
      <c r="B97" s="12" t="inlineStr">
        <is>
          <t>۱۰. تهاتر، تسویه و مطالبات غیرنقد</t>
        </is>
      </c>
      <c r="C97" s="12" t="inlineStr">
        <is>
          <t>سخت</t>
        </is>
      </c>
      <c r="D97" s="5" t="inlineStr">
        <is>
          <t>سه طرفه تهاتر کردیم: ما به حسینی بدهکار بودیم، حسینی به کریمی بدهکار بود، کریمی به ما بدهکار بود، با صورت‌جلسه هر سه بدهی صاف شد چهل میلیون.</t>
        </is>
      </c>
      <c r="E97" s="6" t="inlineStr">
        <is>
          <t>تک‌رویدادی</t>
        </is>
      </c>
      <c r="F97" s="6" t="inlineStr">
        <is>
          <t>خیر</t>
        </is>
      </c>
      <c r="G97" s="6" t="inlineStr">
        <is>
          <t>تهاتر سه‌جانبه بدهکاران و بستانکاران بر اساس قرارداد صلح حقوقی</t>
        </is>
      </c>
      <c r="I97" s="11" t="n"/>
      <c r="J97" s="11" t="n"/>
      <c r="L97" t="inlineStr">
        <is>
          <t>تا حدی — نگهبان تسویه</t>
        </is>
      </c>
    </row>
    <row r="98">
      <c r="A98" s="29" t="inlineStr">
        <is>
          <t>T097</t>
        </is>
      </c>
      <c r="B98" s="12" t="inlineStr">
        <is>
          <t>۱۰. تهاتر، تسویه و مطالبات غیرنقد</t>
        </is>
      </c>
      <c r="C98" s="12" t="inlineStr">
        <is>
          <t>چالش‌برانگیز</t>
        </is>
      </c>
      <c r="D98" s="5" t="inlineStr">
        <is>
          <t>مشتری به جای طلب صد میلیونی ما، یه قطعه زمین قولنامه‌ای بدون سند آورده، میگه تسویه کنیم بره!</t>
        </is>
      </c>
      <c r="E98" s="6" t="inlineStr">
        <is>
          <t>ابهام نیازمند سؤال</t>
        </is>
      </c>
      <c r="F98" s="6" t="inlineStr">
        <is>
          <t>بله</t>
        </is>
      </c>
      <c r="G98" s="6" t="inlineStr">
        <is>
          <t>هشدار ریسک حقوقی فقدان سند ثبتی، الزام به تایید هیئت مدیره و خودداری از تسویه قطعی</t>
        </is>
      </c>
      <c r="I98" s="11" t="n"/>
      <c r="J98" s="11" t="n"/>
      <c r="L98" t="inlineStr">
        <is>
          <t>تا حدی — نگهبان تسویه</t>
        </is>
      </c>
    </row>
    <row r="99">
      <c r="A99" s="29" t="inlineStr">
        <is>
          <t>T098</t>
        </is>
      </c>
      <c r="B99" s="12" t="inlineStr">
        <is>
          <t>۱۰. تهاتر، تسویه و مطالبات غیرنقد</t>
        </is>
      </c>
      <c r="C99" s="12" t="inlineStr">
        <is>
          <t>متوسط</t>
        </is>
      </c>
      <c r="D99" s="5" t="inlineStr">
        <is>
          <t>طلب سی میلیون تومانی ما از شرکت البرز با بدهی بیست و پنج میلیونی شرکت تابعه‌اش به ما تهاتر شد و پنج تومن نقد واریز کردند.</t>
        </is>
      </c>
      <c r="E99" s="6" t="inlineStr">
        <is>
          <t>چندرویدادی مرکب</t>
        </is>
      </c>
      <c r="F99" s="6" t="inlineStr">
        <is>
          <t>خیر</t>
        </is>
      </c>
      <c r="G99" s="6" t="inlineStr">
        <is>
          <t>تسویه مطالبات و بدهی‌های بین‌گروهی به همراه وصول نقدی مابه‌التفاوت در بانک</t>
        </is>
      </c>
      <c r="I99" s="11" t="n"/>
      <c r="J99" s="11" t="n"/>
      <c r="L99" t="inlineStr">
        <is>
          <t>تا حدی — نگهبان تسویه</t>
        </is>
      </c>
    </row>
    <row r="100">
      <c r="A100" s="29" t="inlineStr">
        <is>
          <t>T099</t>
        </is>
      </c>
      <c r="B100" s="12" t="inlineStr">
        <is>
          <t>۱۰. تهاتر، تسویه و مطالبات غیرنقد</t>
        </is>
      </c>
      <c r="C100" s="12" t="inlineStr">
        <is>
          <t>سخت</t>
        </is>
      </c>
      <c r="D100" s="5" t="inlineStr">
        <is>
          <t>تامین‌کننده برای تسویه طلب شصت میلیونی ما، یک فقره چک صیادی شخص ثالث به سررسید سه ماه بعد به ما واگذار کرد.</t>
        </is>
      </c>
      <c r="E100" s="6" t="inlineStr">
        <is>
          <t>تک‌رویدادی</t>
        </is>
      </c>
      <c r="F100" s="6" t="inlineStr">
        <is>
          <t>خیر</t>
        </is>
      </c>
      <c r="G100" s="6" t="inlineStr">
        <is>
          <t>ثبت ورود اسناد دریافتنی نزد صندوق و تسویه حساب‌های دریافتنی تجاری شخص اصلی</t>
        </is>
      </c>
      <c r="I100" s="11" t="n"/>
      <c r="J100" s="11" t="n"/>
      <c r="L100" t="inlineStr">
        <is>
          <t>تا حدی — نگهبان تسویه</t>
        </is>
      </c>
    </row>
    <row r="101">
      <c r="A101" s="29" t="inlineStr">
        <is>
          <t>T100</t>
        </is>
      </c>
      <c r="B101" s="12" t="inlineStr">
        <is>
          <t>۱۰. تهاتر، تسویه و مطالبات غیرنقد</t>
        </is>
      </c>
      <c r="C101" s="12" t="inlineStr">
        <is>
          <t>چالش‌برانگیز</t>
        </is>
      </c>
      <c r="D101" s="5" t="inlineStr">
        <is>
          <t>دو تا شریک با هم توافق کردن حساباشونو صاف کنن، به ما هم گفتن ثبت کن ولی هیچ عددی به ما اعلام نکردن!</t>
        </is>
      </c>
      <c r="E101" s="6" t="inlineStr">
        <is>
          <t>ابهام غیرقابل ثبت</t>
        </is>
      </c>
      <c r="F101" s="6" t="inlineStr">
        <is>
          <t>بله</t>
        </is>
      </c>
      <c r="G101" s="6" t="inlineStr">
        <is>
          <t>رد صدور سند حسابداری به علت عدم وجود مبلغ، سند مبادله و تاییدیه کتبی طرفین</t>
        </is>
      </c>
      <c r="I101" s="11" t="n"/>
      <c r="J101" s="11" t="n"/>
      <c r="L101" t="inlineStr">
        <is>
          <t>تا حدی — نگهبان تسویه</t>
        </is>
      </c>
    </row>
    <row r="102">
      <c r="A102" s="29" t="inlineStr">
        <is>
          <t>T101</t>
        </is>
      </c>
      <c r="B102" s="12" t="inlineStr">
        <is>
          <t>۱۱. اصلاح اشتباهات و تعدیلات سنواتی</t>
        </is>
      </c>
      <c r="C102" s="12" t="inlineStr">
        <is>
          <t>آسان</t>
        </is>
      </c>
      <c r="D102" s="5" t="inlineStr">
        <is>
          <t>فاکتور خرید دوازده میلیون تومانی دیروز اشتباهاً بیست و یک میلیون ثبت شده بود، اصلاحش کن لطفا.</t>
        </is>
      </c>
      <c r="E102" s="6" t="inlineStr">
        <is>
          <t>تک‌رویدادی</t>
        </is>
      </c>
      <c r="F102" s="6" t="inlineStr">
        <is>
          <t>خیر</t>
        </is>
      </c>
      <c r="G102" s="6" t="inlineStr">
        <is>
          <t>ثبت سند اصلاحی معکوس برای اصلاح مبلغ ۹ میلیون تومانی خطای ثبت در دفاتر</t>
        </is>
      </c>
      <c r="I102" s="11" t="n"/>
      <c r="J102" s="11" t="n"/>
      <c r="L102" t="inlineStr">
        <is>
          <t>خیر — قاعده‌اش ساخته نشده</t>
        </is>
      </c>
    </row>
    <row r="103">
      <c r="A103" s="29" t="inlineStr">
        <is>
          <t>T102</t>
        </is>
      </c>
      <c r="B103" s="12" t="inlineStr">
        <is>
          <t>۱۱. اصلاح اشتباهات و تعدیلات سنواتی</t>
        </is>
      </c>
      <c r="C103" s="12" t="inlineStr">
        <is>
          <t>متوسط</t>
        </is>
      </c>
      <c r="D103" s="5" t="inlineStr">
        <is>
          <t>پرداخت کرایه حمل به مبلغ سه میلیون تومن اشتباها به حساب بدهی فروشنده منظور شده بود، الان جابجا کن.</t>
        </is>
      </c>
      <c r="E103" s="6" t="inlineStr">
        <is>
          <t>تک‌رویدادی</t>
        </is>
      </c>
      <c r="F103" s="6" t="inlineStr">
        <is>
          <t>خیر</t>
        </is>
      </c>
      <c r="G103" s="6" t="inlineStr">
        <is>
          <t>اصلاح سرفصل حساب: بدهکار هزینه حمل و بستانکار حساب‌های پرداختنی فروشنده</t>
        </is>
      </c>
      <c r="I103" s="11" t="n"/>
      <c r="J103" s="11" t="n"/>
      <c r="L103" t="inlineStr">
        <is>
          <t>خیر — قاعده‌اش ساخته نشده</t>
        </is>
      </c>
    </row>
    <row r="104">
      <c r="A104" s="29" t="inlineStr">
        <is>
          <t>T103</t>
        </is>
      </c>
      <c r="B104" s="12" t="inlineStr">
        <is>
          <t>۱۱. اصلاح اشتباهات و تعدیلات سنواتی</t>
        </is>
      </c>
      <c r="C104" s="12" t="inlineStr">
        <is>
          <t>سخت</t>
        </is>
      </c>
      <c r="D104" s="5" t="inlineStr">
        <is>
          <t>فاکتور فروش سال قبل به مبلغ چهل و پنج میلیون تومن کلا در دفاتر سال قبل جا افتاده بوده، الان کشف شد.</t>
        </is>
      </c>
      <c r="E104" s="6" t="inlineStr">
        <is>
          <t>تک‌رویدادی</t>
        </is>
      </c>
      <c r="F104" s="6" t="inlineStr">
        <is>
          <t>خیر</t>
        </is>
      </c>
      <c r="G104" s="6" t="inlineStr">
        <is>
          <t>ثبت تعدیلات سنواتی در سرفصل سود و زیان انباشته طبق استاندارد ۶ حسابداری</t>
        </is>
      </c>
      <c r="I104" s="11" t="n"/>
      <c r="J104" s="11" t="n"/>
      <c r="L104" t="inlineStr">
        <is>
          <t>خیر — قاعده‌اش ساخته نشده</t>
        </is>
      </c>
    </row>
    <row r="105">
      <c r="A105" s="29" t="inlineStr">
        <is>
          <t>T104</t>
        </is>
      </c>
      <c r="B105" s="12" t="inlineStr">
        <is>
          <t>۱۱. اصلاح اشتباهات و تعدیلات سنواتی</t>
        </is>
      </c>
      <c r="C105" s="12" t="inlineStr">
        <is>
          <t>چالش‌برانگیز</t>
        </is>
      </c>
      <c r="D105" s="5" t="inlineStr">
        <is>
          <t>یه سند پارسال زدی به مبلغ نامعلوم که تراز بخوره، الان ممیز گیر داده، درستش کن بدون اینکه مالیات بالا بره!</t>
        </is>
      </c>
      <c r="E105" s="6" t="inlineStr">
        <is>
          <t>ابهام نیازمند سؤال</t>
        </is>
      </c>
      <c r="F105" s="6" t="inlineStr">
        <is>
          <t>بله</t>
        </is>
      </c>
      <c r="G105" s="6" t="inlineStr">
        <is>
          <t>طرح سؤال جهت ارائه فاکتور واقعی، رد دستکاری متقلبانه اسناد و پیشنهاد گزارش شفاف</t>
        </is>
      </c>
      <c r="I105" s="11" t="n"/>
      <c r="J105" s="11" t="n"/>
      <c r="L105" t="inlineStr">
        <is>
          <t>خیر — قاعده‌اش ساخته نشده</t>
        </is>
      </c>
    </row>
    <row r="106">
      <c r="A106" s="29" t="inlineStr">
        <is>
          <t>T105</t>
        </is>
      </c>
      <c r="B106" s="12" t="inlineStr">
        <is>
          <t>۱۱. اصلاح اشتباهات و تعدیلات سنواتی</t>
        </is>
      </c>
      <c r="C106" s="12" t="inlineStr">
        <is>
          <t>متوسط</t>
        </is>
      </c>
      <c r="D106" s="5" t="inlineStr">
        <is>
          <t>سود سپرده بانکی سال قبل به مبلغ هشت میلیون تومن اشتباهاً درآمد معاف مالیاتی ثبت شده بود، اصلاح شود.</t>
        </is>
      </c>
      <c r="E106" s="6" t="inlineStr">
        <is>
          <t>تک‌رویدادی</t>
        </is>
      </c>
      <c r="F106" s="6" t="inlineStr">
        <is>
          <t>خیر</t>
        </is>
      </c>
      <c r="G106" s="6" t="inlineStr">
        <is>
          <t>اصلاح طبقه درآمدی و منظور نمودن به حساب درآمد غیرعملیاتی مشمول مالیات</t>
        </is>
      </c>
      <c r="I106" s="11" t="n"/>
      <c r="J106" s="11" t="n"/>
      <c r="L106" t="inlineStr">
        <is>
          <t>خیر — قاعده‌اش ساخته نشده</t>
        </is>
      </c>
    </row>
    <row r="107">
      <c r="A107" s="29" t="inlineStr">
        <is>
          <t>T106</t>
        </is>
      </c>
      <c r="B107" s="12" t="inlineStr">
        <is>
          <t>۱۱. اصلاح اشتباهات و تعدیلات سنواتی</t>
        </is>
      </c>
      <c r="C107" s="12" t="inlineStr">
        <is>
          <t>سخت</t>
        </is>
      </c>
      <c r="D107" s="5" t="inlineStr">
        <is>
          <t>استهلاک ماشین‌آلات سال قبل سی میلیون کمتر محاسبه شده بود، سند تعدیل سنواتی رو بزن.</t>
        </is>
      </c>
      <c r="E107" s="6" t="inlineStr">
        <is>
          <t>تک‌رویدادی</t>
        </is>
      </c>
      <c r="F107" s="6" t="inlineStr">
        <is>
          <t>خیر</t>
        </is>
      </c>
      <c r="G107" s="6" t="inlineStr">
        <is>
          <t>بدهکار سود و زیان انباشته (تعدیلات سنواتی) و بستانکار استهلاک انباشته ماشین‌آلات</t>
        </is>
      </c>
      <c r="I107" s="11" t="n"/>
      <c r="J107" s="11" t="n"/>
      <c r="L107" t="inlineStr">
        <is>
          <t>خیر — قاعده‌اش ساخته نشده</t>
        </is>
      </c>
    </row>
    <row r="108">
      <c r="A108" s="29" t="inlineStr">
        <is>
          <t>T107</t>
        </is>
      </c>
      <c r="B108" s="12" t="inlineStr">
        <is>
          <t>۱۱. اصلاح اشتباهات و تعدیلات سنواتی</t>
        </is>
      </c>
      <c r="C108" s="12" t="inlineStr">
        <is>
          <t>چالش‌برانگیز</t>
        </is>
      </c>
      <c r="D108" s="5" t="inlineStr">
        <is>
          <t>حسابدار قبلی رفته، پنج تا چک گم شده و سندش تو سیستم بدون لاشه ثبت شده، چیکارش کنم؟</t>
        </is>
      </c>
      <c r="E108" s="6" t="inlineStr">
        <is>
          <t>ابهام نیازمند سؤال</t>
        </is>
      </c>
      <c r="F108" s="6" t="inlineStr">
        <is>
          <t>بله</t>
        </is>
      </c>
      <c r="G108" s="6" t="inlineStr">
        <is>
          <t>طرح سؤال و الزام به استعلام از بانک، اخذ تاییدیه دریافت‌کننده و توقف ثبت قطعی</t>
        </is>
      </c>
      <c r="I108" s="11" t="n"/>
      <c r="J108" s="11" t="n"/>
      <c r="L108" t="inlineStr">
        <is>
          <t>خیر — قاعده‌اش ساخته نشده</t>
        </is>
      </c>
    </row>
    <row r="109">
      <c r="A109" s="29" t="inlineStr">
        <is>
          <t>T108</t>
        </is>
      </c>
      <c r="B109" s="12" t="inlineStr">
        <is>
          <t>۱۱. اصلاح اشتباهات و تعدیلات سنواتی</t>
        </is>
      </c>
      <c r="C109" s="12" t="inlineStr">
        <is>
          <t>متوسط</t>
        </is>
      </c>
      <c r="D109" s="5" t="inlineStr">
        <is>
          <t>برگشت از فروش پنج میلیون تومانی اشتباهاً به عنوان تخفیفات نقدی خرید ثبت شده بود، اصلاح ترازنامه.</t>
        </is>
      </c>
      <c r="E109" s="6" t="inlineStr">
        <is>
          <t>تک‌رویدادی</t>
        </is>
      </c>
      <c r="F109" s="6" t="inlineStr">
        <is>
          <t>خیر</t>
        </is>
      </c>
      <c r="G109" s="6" t="inlineStr">
        <is>
          <t>اصلاح دوطرفه حساب‌های برگشت از فروش و تخفیفات نقدی خرید</t>
        </is>
      </c>
      <c r="I109" s="11" t="n"/>
      <c r="J109" s="11" t="n"/>
      <c r="L109" t="inlineStr">
        <is>
          <t>خیر — قاعده‌اش ساخته نشده</t>
        </is>
      </c>
    </row>
    <row r="110">
      <c r="A110" s="29" t="inlineStr">
        <is>
          <t>T109</t>
        </is>
      </c>
      <c r="B110" s="12" t="inlineStr">
        <is>
          <t>۱۱. اصلاح اشتباهات و تعدیلات سنواتی</t>
        </is>
      </c>
      <c r="C110" s="12" t="inlineStr">
        <is>
          <t>سخت</t>
        </is>
      </c>
      <c r="D110" s="5" t="inlineStr">
        <is>
          <t>چک برگشتی مشتری اشتباهاً به حساب هزینه متفرقه برده شده بود و حساب مشتری صفر شده بود، برگردون به حالت اول.</t>
        </is>
      </c>
      <c r="E110" s="6" t="inlineStr">
        <is>
          <t>تک‌رویدادی</t>
        </is>
      </c>
      <c r="F110" s="6" t="inlineStr">
        <is>
          <t>خیر</t>
        </is>
      </c>
      <c r="G110" s="6" t="inlineStr">
        <is>
          <t>اصلاح حساب: بدهکار حساب دریافتنی مشتری و بستانکار سایر هزینه‌های متفرقه</t>
        </is>
      </c>
      <c r="I110" s="11" t="n"/>
      <c r="J110" s="11" t="n"/>
      <c r="L110" t="inlineStr">
        <is>
          <t>خیر — قاعده‌اش ساخته نشده</t>
        </is>
      </c>
    </row>
    <row r="111">
      <c r="A111" s="29" t="inlineStr">
        <is>
          <t>T110</t>
        </is>
      </c>
      <c r="B111" s="12" t="inlineStr">
        <is>
          <t>۱۱. اصلاح اشتباهات و تعدیلات سنواتی</t>
        </is>
      </c>
      <c r="C111" s="12" t="inlineStr">
        <is>
          <t>چالش‌برانگیز</t>
        </is>
      </c>
      <c r="D111" s="5" t="inlineStr">
        <is>
          <t>کل حساب‌های انبار و بانک با هم قاطی شده، یه سند بالانس ده میلیاردی بزن که فقط صفر بشه!</t>
        </is>
      </c>
      <c r="E111" s="6" t="inlineStr">
        <is>
          <t>ابهام غیرقابل ثبت</t>
        </is>
      </c>
      <c r="F111" s="6" t="inlineStr">
        <is>
          <t>بله</t>
        </is>
      </c>
      <c r="G111" s="6" t="inlineStr">
        <is>
          <t>رد قاطع صدور سند ساختگی (تراز دستوری) به دلیل نقض فاحش استانداردهای مالی و قانونی</t>
        </is>
      </c>
      <c r="I111" s="11" t="n"/>
      <c r="J111" s="11" t="n"/>
      <c r="L111" t="inlineStr">
        <is>
          <t>خیر — قاعده‌اش ساخته نشده</t>
        </is>
      </c>
    </row>
    <row r="112">
      <c r="A112" s="29" t="inlineStr">
        <is>
          <t>T111</t>
        </is>
      </c>
      <c r="B112" s="12" t="inlineStr">
        <is>
          <t>۱۲. درآمد غیرعملیاتی، ضایعات و رویداد غیرعادی</t>
        </is>
      </c>
      <c r="C112" s="12" t="inlineStr">
        <is>
          <t>آسان</t>
        </is>
      </c>
      <c r="D112" s="5" t="inlineStr">
        <is>
          <t>سود ماهانه سپرده سرمایه‌گذاری کوتاه‌مدت نزد بانک آینده به مبلغ چهار میلیون و دویست هزار تومن واریز شد.</t>
        </is>
      </c>
      <c r="E112" s="6" t="inlineStr">
        <is>
          <t>تک‌رویدادی</t>
        </is>
      </c>
      <c r="F112" s="6" t="inlineStr">
        <is>
          <t>خیر</t>
        </is>
      </c>
      <c r="G112" s="6" t="inlineStr">
        <is>
          <t>بدهکار حساب جاری بانک و بستانکار حساب درآمد سود سپرده‌های سرمایه‌گذاری بانکی</t>
        </is>
      </c>
      <c r="I112" s="11" t="n"/>
      <c r="J112" s="11" t="n"/>
      <c r="L112" t="inlineStr">
        <is>
          <t>خیر — قاعده‌اش ساخته نشده</t>
        </is>
      </c>
    </row>
    <row r="113">
      <c r="A113" s="29" t="inlineStr">
        <is>
          <t>T112</t>
        </is>
      </c>
      <c r="B113" s="12" t="inlineStr">
        <is>
          <t>۱۲. درآمد غیرعملیاتی، ضایعات و رویداد غیرعادی</t>
        </is>
      </c>
      <c r="C113" s="12" t="inlineStr">
        <is>
          <t>متوسط</t>
        </is>
      </c>
      <c r="D113" s="5" t="inlineStr">
        <is>
          <t>ضایعات کارتن و پلاستیک‌های بسته‌بندی کارگاه رو فروختیم به خریدار دوره‌گرد، هفت میلیون تومن نقدی داد به صندوق.</t>
        </is>
      </c>
      <c r="E113" s="6" t="inlineStr">
        <is>
          <t>تک‌رویدادی</t>
        </is>
      </c>
      <c r="F113" s="6" t="inlineStr">
        <is>
          <t>خیر</t>
        </is>
      </c>
      <c r="G113" s="6" t="inlineStr">
        <is>
          <t>بدهکار موجودی صندوق نقد و بستانکار سایر درآمدهای غیرعملیاتی (فروش ضایعات)</t>
        </is>
      </c>
      <c r="I113" s="11" t="n"/>
      <c r="J113" s="11" t="n"/>
      <c r="L113" t="inlineStr">
        <is>
          <t>خیر — قاعده‌اش ساخته نشده</t>
        </is>
      </c>
    </row>
    <row r="114">
      <c r="A114" s="29" t="inlineStr">
        <is>
          <t>T113</t>
        </is>
      </c>
      <c r="B114" s="12" t="inlineStr">
        <is>
          <t>۱۲. درآمد غیرعملیاتی، ضایعات و رویداد غیرعادی</t>
        </is>
      </c>
      <c r="C114" s="12" t="inlineStr">
        <is>
          <t>سخت</t>
        </is>
      </c>
      <c r="D114" s="5" t="inlineStr">
        <is>
          <t>انبار شرکت دچار آتش‌سوزی شد، چهل میلیون خسارت دیدیم، شرکت بیمه دانا بیست و پنج میلیون تومنشو واریز کرد.</t>
        </is>
      </c>
      <c r="E114" s="6" t="inlineStr">
        <is>
          <t>چندرویدادی مرکب</t>
        </is>
      </c>
      <c r="F114" s="6" t="inlineStr">
        <is>
          <t>خیر</t>
        </is>
      </c>
      <c r="G114" s="6" t="inlineStr">
        <is>
          <t>ثبت ورود وجه نقد بیمه، خروج دارایی آسیب‌دیده و شناسایی خالص زیان ناشی از سانحه غیرمترقبه</t>
        </is>
      </c>
      <c r="I114" s="11" t="n"/>
      <c r="J114" s="11" t="n"/>
      <c r="L114" t="inlineStr">
        <is>
          <t>خیر — قاعده‌اش ساخته نشده</t>
        </is>
      </c>
    </row>
    <row r="115">
      <c r="A115" s="29" t="inlineStr">
        <is>
          <t>T114</t>
        </is>
      </c>
      <c r="B115" s="12" t="inlineStr">
        <is>
          <t>۱۲. درآمد غیرعملیاتی، ضایعات و رویداد غیرعادی</t>
        </is>
      </c>
      <c r="C115" s="12" t="inlineStr">
        <is>
          <t>چالش‌برانگیز</t>
        </is>
      </c>
      <c r="D115" s="5" t="inlineStr">
        <is>
          <t>یه خیّر اومده پنجاه میلیون تومن بلاعوض کمک کرده به شرکت دانش‌بنیان ما واسه توسعه تحقیقات، فاکتور نخواسته.</t>
        </is>
      </c>
      <c r="E115" s="6" t="inlineStr">
        <is>
          <t>ابهام نیازمند سؤال</t>
        </is>
      </c>
      <c r="F115" s="6" t="inlineStr">
        <is>
          <t>بله</t>
        </is>
      </c>
      <c r="G115" s="6" t="inlineStr">
        <is>
          <t>طرح سؤال پیرامون ماهیت کمک: کمک بلاعوض دولتی/خصوصی یا افزایش حقوق سهامداران</t>
        </is>
      </c>
      <c r="I115" s="11" t="n"/>
      <c r="J115" s="11" t="n"/>
      <c r="L115" t="inlineStr">
        <is>
          <t>خیر — قاعده‌اش ساخته نشده</t>
        </is>
      </c>
    </row>
    <row r="116">
      <c r="A116" s="29" t="inlineStr">
        <is>
          <t>T115</t>
        </is>
      </c>
      <c r="B116" s="12" t="inlineStr">
        <is>
          <t>۱۲. درآمد غیرعملیاتی، ضایعات و رویداد غیرعادی</t>
        </is>
      </c>
      <c r="C116" s="12" t="inlineStr">
        <is>
          <t>متوسط</t>
        </is>
      </c>
      <c r="D116" s="5" t="inlineStr">
        <is>
          <t>سود تسعیر ارز ناشی از موجودی ارزی حساب درهمی شرکت در پایان سال مالی به مبلغ سی میلیون تومن شناسایی شد.</t>
        </is>
      </c>
      <c r="E116" s="6" t="inlineStr">
        <is>
          <t>تک‌رویدادی</t>
        </is>
      </c>
      <c r="F116" s="6" t="inlineStr">
        <is>
          <t>خیر</t>
        </is>
      </c>
      <c r="G116" s="6" t="inlineStr">
        <is>
          <t>بدهکار موجودی ارزی بانک و بستانکار درآمد غیرعملیاتی ناشی از تسعیر ارز</t>
        </is>
      </c>
      <c r="I116" s="11" t="n"/>
      <c r="J116" s="11" t="n"/>
      <c r="L116" t="inlineStr">
        <is>
          <t>خیر — قاعده‌اش ساخته نشده</t>
        </is>
      </c>
    </row>
    <row r="117">
      <c r="A117" s="29" t="inlineStr">
        <is>
          <t>T116</t>
        </is>
      </c>
      <c r="B117" s="12" t="inlineStr">
        <is>
          <t>۱۲. درآمد غیرعملیاتی، ضایعات و رویداد غیرعادی</t>
        </is>
      </c>
      <c r="C117" s="12" t="inlineStr">
        <is>
          <t>سخت</t>
        </is>
      </c>
      <c r="D117" s="5" t="inlineStr">
        <is>
          <t>دستگاه فرز مستعمل کارگاه که اسقاطی شده بود رو تو مزایده فروختیم به هجده میلیون، ارزش دفتریش صفر بود.</t>
        </is>
      </c>
      <c r="E117" s="6" t="inlineStr">
        <is>
          <t>تک‌رویدادی</t>
        </is>
      </c>
      <c r="F117" s="6" t="inlineStr">
        <is>
          <t>خیر</t>
        </is>
      </c>
      <c r="G117" s="6" t="inlineStr">
        <is>
          <t>بدهکار حساب بانک و بستانکار سایر درآمدهای عملیاتی/غیرعملیاتی ناشی از واگذاری اموال</t>
        </is>
      </c>
      <c r="I117" s="11" t="n"/>
      <c r="J117" s="11" t="n"/>
      <c r="L117" t="inlineStr">
        <is>
          <t>خیر — قاعده‌اش ساخته نشده</t>
        </is>
      </c>
    </row>
    <row r="118">
      <c r="A118" s="29" t="inlineStr">
        <is>
          <t>T117</t>
        </is>
      </c>
      <c r="B118" s="12" t="inlineStr">
        <is>
          <t>۱۲. درآمد غیرعملیاتی، ضایعات و رویداد غیرعادی</t>
        </is>
      </c>
      <c r="C118" s="12" t="inlineStr">
        <is>
          <t>چالش‌برانگیز</t>
        </is>
      </c>
      <c r="D118" s="5" t="inlineStr">
        <is>
          <t>مدیرعامل میگه یه پولی به عنوان شیرینی یا حق‌العمل از یه شرکت همکار گرفتیم پونزده میلیون، ولی مشخص نیس بابت چی بوده!</t>
        </is>
      </c>
      <c r="E118" s="6" t="inlineStr">
        <is>
          <t>ابهام نیازمند سؤال</t>
        </is>
      </c>
      <c r="F118" s="6" t="inlineStr">
        <is>
          <t>بله</t>
        </is>
      </c>
      <c r="G118" s="6" t="inlineStr">
        <is>
          <t>طرح سؤال تکمیلی جهت احراز قرارداد حق‌العمل‌کاری و الزامات مالیاتی ماده ۱۶۹</t>
        </is>
      </c>
      <c r="I118" s="11" t="n"/>
      <c r="J118" s="11" t="n"/>
      <c r="L118" t="inlineStr">
        <is>
          <t>خیر — قاعده‌اش ساخته نشده</t>
        </is>
      </c>
    </row>
    <row r="119">
      <c r="A119" s="29" t="inlineStr">
        <is>
          <t>T118</t>
        </is>
      </c>
      <c r="B119" s="12" t="inlineStr">
        <is>
          <t>۱۲. درآمد غیرعملیاتی، ضایعات و رویداد غیرعادی</t>
        </is>
      </c>
      <c r="C119" s="12" t="inlineStr">
        <is>
          <t>متوسط</t>
        </is>
      </c>
      <c r="D119" s="5" t="inlineStr">
        <is>
          <t>جریمه خسارت تاخیر در تحویل کالا از شرکت حمل و نقل به مبلغ دوازده میلیون تومن طبق حکم داوری دریافت شد.</t>
        </is>
      </c>
      <c r="E119" s="6" t="inlineStr">
        <is>
          <t>تک‌رویدادی</t>
        </is>
      </c>
      <c r="F119" s="6" t="inlineStr">
        <is>
          <t>خیر</t>
        </is>
      </c>
      <c r="G119" s="6" t="inlineStr">
        <is>
          <t>بدهکار حساب بانک و بستانکار سایر درآمدهای غیرعملیاتی (دریافت خسارت قرارداد)</t>
        </is>
      </c>
      <c r="I119" s="11" t="n"/>
      <c r="J119" s="11" t="n"/>
      <c r="L119" t="inlineStr">
        <is>
          <t>خیر — قاعده‌اش ساخته نشده</t>
        </is>
      </c>
    </row>
    <row r="120">
      <c r="A120" s="29" t="inlineStr">
        <is>
          <t>T119</t>
        </is>
      </c>
      <c r="B120" s="12" t="inlineStr">
        <is>
          <t>۱۲. درآمد غیرعملیاتی، ضایعات و رویداد غیرعادی</t>
        </is>
      </c>
      <c r="C120" s="12" t="inlineStr">
        <is>
          <t>سخت</t>
        </is>
      </c>
      <c r="D120" s="5" t="inlineStr">
        <is>
          <t>زیان تسعیر بدهی ارزی به تامین‌کننده خارجی به مبلغ سی و پنج میلیون تومن ناشی از افزایش نرخ حواله شناسایی گردید.</t>
        </is>
      </c>
      <c r="E120" s="6" t="inlineStr">
        <is>
          <t>تک‌رویدادی</t>
        </is>
      </c>
      <c r="F120" s="6" t="inlineStr">
        <is>
          <t>خیر</t>
        </is>
      </c>
      <c r="G120" s="6" t="inlineStr">
        <is>
          <t>بدهکار هزینه تسعیر ارز (هزینه غیرعملیاتی) و بستانکار حساب‌های پرداختنی ارزی</t>
        </is>
      </c>
      <c r="I120" s="11" t="n"/>
      <c r="J120" s="11" t="n"/>
      <c r="L120" t="inlineStr">
        <is>
          <t>خیر — قاعده‌اش ساخته نشده</t>
        </is>
      </c>
    </row>
    <row r="121">
      <c r="A121" s="29" t="inlineStr">
        <is>
          <t>T120</t>
        </is>
      </c>
      <c r="B121" s="12" t="inlineStr">
        <is>
          <t>۱۲. درآمد غیرعملیاتی، ضایعات و رویداد غیرعادی</t>
        </is>
      </c>
      <c r="C121" s="12" t="inlineStr">
        <is>
          <t>چالش‌برانگیز</t>
        </is>
      </c>
      <c r="D121" s="5" t="inlineStr">
        <is>
          <t>یه مبلغ مشکوک پنجاه میلیون تومانی بدون مشخصات به حساب اومده، مدیر میگه بزن به حساب درآمدهای متفرقه کسی نفهمه!</t>
        </is>
      </c>
      <c r="E121" s="6" t="inlineStr">
        <is>
          <t>ابهام غیرقابل ثبت</t>
        </is>
      </c>
      <c r="F121" s="6" t="inlineStr">
        <is>
          <t>بله</t>
        </is>
      </c>
      <c r="G121" s="6" t="inlineStr">
        <is>
          <t>رد ثبت درآمد متفرقه بدون منشأ، ثبت واریزی نامشخص و اعلام خطرات پولشویی و ممیزی</t>
        </is>
      </c>
      <c r="I121" s="11" t="n"/>
      <c r="J121" s="11" t="n"/>
      <c r="L121" t="inlineStr">
        <is>
          <t>خیر — قاعده‌اش ساخته نشده</t>
        </is>
      </c>
    </row>
  </sheetData>
  <dataValidations count="3">
    <dataValidation sqref="J2:J121" showDropDown="0" showInputMessage="0" showErrorMessage="0" allowBlank="1" type="list">
      <formula1>"بدون خطا,خطا در تشخیص ماهیت رویداد,جابجایی یا اشتباه بدهکار/بستانکار,استخراج اشتباه مبلغ یا ارقام,از قلم افتادن بخش دوم در جمله مرکب,عدم طرح سؤال در سناریوی مبهم,طرح سؤال تکمیلی غلط و توهم اطلاعات,عدم تشخیص سررسید یا طرف‌حساب,عدم رعایت کنترل‌های داخلی و م"&amp;"الیاتی"</formula1>
    </dataValidation>
    <dataValidation sqref="I2:I121" showDropDown="0" showInputMessage="0" showErrorMessage="0" allowBlank="1" type="list">
      <formula1>"قبولی کامل (Pass),امتناع درست — قاعده‌اش در این فاز ساخته نشده,قبولی مشروط (Conditional),رد کامل (Fail),خطا در تشخیص سرفصل,خطا در استخراج مبلغ,عدم تفکیک رویدادها,سؤال تکمیلی نامربوط/توهم,سکوت اشتباه در ابهام"</formula1>
    </dataValidation>
    <dataValidation sqref="M2:M121" showDropDown="0" showInputMessage="0" showErrorMessage="0" allowBlank="1" type="list">
      <formula1>"خیر,بله"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2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45" min="1" max="1"/>
    <col width="20.13" customWidth="1" style="45" min="2" max="2"/>
    <col width="27.63" customWidth="1" style="45" min="3" max="3"/>
    <col width="29" customWidth="1" style="45" min="4" max="4"/>
    <col width="28.88" customWidth="1" style="45" min="5" max="5"/>
    <col width="18.88" customWidth="1" style="45" min="6" max="6"/>
    <col width="21.38" customWidth="1" style="45" min="7" max="7"/>
    <col width="20.13" customWidth="1" style="45" min="8" max="8"/>
    <col width="40.13" customWidth="1" style="45" min="9" max="9"/>
    <col width="27.63" customWidth="1" style="45" min="10" max="10"/>
  </cols>
  <sheetData>
    <row r="1" ht="31.5" customHeight="1" s="45">
      <c r="A1" s="1" t="inlineStr">
        <is>
          <t>کد سناریو</t>
        </is>
      </c>
      <c r="B1" s="1" t="inlineStr">
        <is>
          <t>سرفصل حسابداری (دسته)</t>
        </is>
      </c>
      <c r="C1" s="1" t="inlineStr">
        <is>
          <t>عنوان و ماهیت رویداد مالی</t>
        </is>
      </c>
      <c r="D1" s="1" t="inlineStr">
        <is>
          <t>حساب(های) بدهکار استاندارد</t>
        </is>
      </c>
      <c r="E1" s="1" t="inlineStr">
        <is>
          <t>حساب(های) بستانکار استاندارد</t>
        </is>
      </c>
      <c r="F1" s="1" t="inlineStr">
        <is>
          <t>مبلغ مبنا (تومان)</t>
        </is>
      </c>
      <c r="G1" s="1" t="inlineStr">
        <is>
          <t>طرف‌حساب / اشخاص مرتبط</t>
        </is>
      </c>
      <c r="H1" s="1" t="inlineStr">
        <is>
          <t>تاریخ / سررسید / دوره</t>
        </is>
      </c>
      <c r="I1" s="1" t="inlineStr">
        <is>
          <t>رفتار استاندارد هوش مصنوعی در ابهام یا ترکیب</t>
        </is>
      </c>
      <c r="J1" s="1" t="inlineStr">
        <is>
          <t>مرجع استاندارد حسابداری / قانون مالیاتی</t>
        </is>
      </c>
    </row>
    <row r="2">
      <c r="A2" s="29" t="inlineStr">
        <is>
          <t>T001</t>
        </is>
      </c>
      <c r="B2" s="12" t="inlineStr">
        <is>
          <t>۱. پیش‌پرداخت، هزینه و دوره مالی</t>
        </is>
      </c>
      <c r="C2" s="5" t="inlineStr">
        <is>
          <t>پرداخت نقدی اجاره اردیبهشت دفتر مرکزی</t>
        </is>
      </c>
      <c r="D2" s="5" t="inlineStr">
        <is>
          <t>هزینه اجاره اماکن اداری</t>
        </is>
      </c>
      <c r="E2" s="5" t="inlineStr">
        <is>
          <t>موجودی بانک سامان</t>
        </is>
      </c>
      <c r="F2" s="16" t="n">
        <v>12000000</v>
      </c>
      <c r="G2" s="6" t="inlineStr">
        <is>
          <t>آقای اسدی (موجر)</t>
        </is>
      </c>
      <c r="H2" s="6" t="inlineStr">
        <is>
          <t>اردیبهشت ماه جاری</t>
        </is>
      </c>
      <c r="I2" s="5" t="inlineStr">
        <is>
          <t>ثبت قطعی بدون ابهام با تاریخ روز و مرکز هزینه اداری</t>
        </is>
      </c>
      <c r="J2" s="5" t="inlineStr">
        <is>
          <t>استاندارد حسابداری ۱ و ۳ (تداوم و تطابق)</t>
        </is>
      </c>
    </row>
    <row r="3">
      <c r="A3" s="29" t="inlineStr">
        <is>
          <t>T002</t>
        </is>
      </c>
      <c r="B3" s="12" t="inlineStr">
        <is>
          <t>۱. پیش‌پرداخت، هزینه و دوره مالی</t>
        </is>
      </c>
      <c r="C3" s="5" t="inlineStr">
        <is>
          <t>پیش‌پرداخت بیمه مسئولیت مدنی سالانه</t>
        </is>
      </c>
      <c r="D3" s="5" t="inlineStr">
        <is>
          <t>پیش‌پرداخت بیمه (دارایی جاری)</t>
        </is>
      </c>
      <c r="E3" s="5" t="inlineStr">
        <is>
          <t>موجودی بانک / اسناد پرداختنی</t>
        </is>
      </c>
      <c r="F3" s="16" t="n">
        <v>50000000</v>
      </c>
      <c r="G3" s="6" t="inlineStr">
        <is>
          <t>شرکت سهامی بیمه ایران</t>
        </is>
      </c>
      <c r="H3" s="6" t="inlineStr">
        <is>
          <t>۱ فروردین تا ۲۹ اسفند (یک‌ساله)</t>
        </is>
      </c>
      <c r="I3" s="5" t="inlineStr">
        <is>
          <t>شناسایی اولیه در دارایی جاری و زمان‌بندی استهلاک ۱۲ ماهه</t>
        </is>
      </c>
      <c r="J3" s="5" t="inlineStr">
        <is>
          <t>ماده ۱۴۸ قانون مالیات‌های مستقیم و استانداردهای مالی</t>
        </is>
      </c>
    </row>
    <row r="4">
      <c r="A4" s="29" t="inlineStr">
        <is>
          <t>T003</t>
        </is>
      </c>
      <c r="B4" s="12" t="inlineStr">
        <is>
          <t>۱. پیش‌پرداخت، هزینه و دوره مالی</t>
        </is>
      </c>
      <c r="C4" s="5" t="inlineStr">
        <is>
          <t>پرداخت ترکیبی بدهی سنواتی و پیش‌پرداخت جاری</t>
        </is>
      </c>
      <c r="D4" s="5" t="inlineStr">
        <is>
          <t>حساب‌های پرداختنی (۱۰ م) + پیش‌پرداخت اجاره (۱۰ م)</t>
        </is>
      </c>
      <c r="E4" s="5" t="inlineStr">
        <is>
          <t>موجودی بانک ملی</t>
        </is>
      </c>
      <c r="F4" s="16" t="n">
        <v>20000000</v>
      </c>
      <c r="G4" s="6" t="inlineStr">
        <is>
          <t>موجر دفتر مرکـزی</t>
        </is>
      </c>
      <c r="H4" s="6" t="inlineStr">
        <is>
          <t>اسفند سال قبل و بهار سال جاری</t>
        </is>
      </c>
      <c r="I4" s="5" t="inlineStr">
        <is>
          <t>تفکیک خودکار مبلغ به دو آرتیکل: تسویه بدهی و پیش‌پرداخت</t>
        </is>
      </c>
      <c r="J4" s="5" t="inlineStr">
        <is>
          <t>اصل تطابق هزینه با درآمد و استانداردهای تفکیک دوره</t>
        </is>
      </c>
    </row>
    <row r="5">
      <c r="A5" s="29" t="inlineStr">
        <is>
          <t>T004</t>
        </is>
      </c>
      <c r="B5" s="12" t="inlineStr">
        <is>
          <t>۱. پیش‌پرداخت، هزینه و دوره مالی</t>
        </is>
      </c>
      <c r="C5" s="5" t="inlineStr">
        <is>
          <t>واریز وجه نامشخص به چاپخانه بدون فاکتور قطعی</t>
        </is>
      </c>
      <c r="D5" s="5" t="inlineStr">
        <is>
          <t>پیش‌پرداخت سفارشات چاپی / علی‌الحساب</t>
        </is>
      </c>
      <c r="E5" s="5" t="inlineStr">
        <is>
          <t>موجودی بانک</t>
        </is>
      </c>
      <c r="F5" s="16" t="n">
        <v>30000000</v>
      </c>
      <c r="G5" s="6" t="inlineStr">
        <is>
          <t>چاپخانه طرف قرارداد</t>
        </is>
      </c>
      <c r="H5" s="6" t="inlineStr">
        <is>
          <t>نامشخص (نیاز به پیگیری)</t>
        </is>
      </c>
      <c r="I5" s="5" t="inlineStr">
        <is>
          <t>توقف ثبت هزینه قطعی؛ طرح سؤال: آیا سفارش چاپ نهایی شده یا خیر؟</t>
        </is>
      </c>
      <c r="J5" s="5" t="inlineStr">
        <is>
          <t>آیین‌نامه تحریر دفاتر و الزامات صدور مدارک مثبته</t>
        </is>
      </c>
    </row>
    <row r="6">
      <c r="A6" s="29" t="inlineStr">
        <is>
          <t>T005</t>
        </is>
      </c>
      <c r="B6" s="12" t="inlineStr">
        <is>
          <t>۱. پیش‌پرداخت، هزینه و دوره مالی</t>
        </is>
      </c>
      <c r="C6" s="5" t="inlineStr">
        <is>
          <t>پرداخت هزینه پذیرایی هیئت مدیره از جیب سهامدار</t>
        </is>
      </c>
      <c r="D6" s="5" t="inlineStr">
        <is>
          <t>هزینه پذیرایی، رفاهی و جلسات اداری</t>
        </is>
      </c>
      <c r="E6" s="5" t="inlineStr">
        <is>
          <t>جاری شرکا و سهامداران (آقای حسینی)</t>
        </is>
      </c>
      <c r="F6" s="16" t="n">
        <v>3400000</v>
      </c>
      <c r="G6" s="6" t="inlineStr">
        <is>
          <t>آقای حسینی (عضو هیئت مدیره)</t>
        </is>
      </c>
      <c r="H6" s="6" t="inlineStr">
        <is>
          <t>روز جاری</t>
        </is>
      </c>
      <c r="I6" s="5" t="inlineStr">
        <is>
          <t>شناسایی هزینه جاری و افزایش بستانکاری سهامدار بدون دخالت بانک</t>
        </is>
      </c>
      <c r="J6" s="5" t="inlineStr">
        <is>
          <t>قانون تجارت و ماده ۱۲۹ و استانداردهای افشای اشخاص وابسته</t>
        </is>
      </c>
    </row>
    <row r="7">
      <c r="A7" s="29" t="inlineStr">
        <is>
          <t>T006</t>
        </is>
      </c>
      <c r="B7" s="12" t="inlineStr">
        <is>
          <t>۱. پیش‌پرداخت، هزینه و دوره مالی</t>
        </is>
      </c>
      <c r="C7" s="5" t="inlineStr">
        <is>
          <t>پیش‌پرداخت خرید مواد اولیه از بورس/کارخانه</t>
        </is>
      </c>
      <c r="D7" s="5" t="inlineStr">
        <is>
          <t>پیش‌پرداخت خرید کالا و مواد اولیه</t>
        </is>
      </c>
      <c r="E7" s="5" t="inlineStr">
        <is>
          <t>موجودی بانک</t>
        </is>
      </c>
      <c r="F7" s="16" t="n">
        <v>120000000</v>
      </c>
      <c r="G7" s="6" t="inlineStr">
        <is>
          <t>کارخانه فولاد مبارکه اصفهان</t>
        </is>
      </c>
      <c r="H7" s="6" t="inlineStr">
        <is>
          <t>تحویل در دوره آتی</t>
        </is>
      </c>
      <c r="I7" s="5" t="inlineStr">
        <is>
          <t>جلوگیری از ثبت مستقیم در حساب خرید یا موجودی تا زمان تحویل کالا</t>
        </is>
      </c>
      <c r="J7" s="5" t="inlineStr">
        <is>
          <t>استاندارد حسابداری ۸ (حسابداری موجودی مواد و کالا)</t>
        </is>
      </c>
    </row>
    <row r="8">
      <c r="A8" s="29" t="inlineStr">
        <is>
          <t>T007</t>
        </is>
      </c>
      <c r="B8" s="12" t="inlineStr">
        <is>
          <t>۱. پیش‌پرداخت، هزینه و دوره مالی</t>
        </is>
      </c>
      <c r="C8" s="5" t="inlineStr">
        <is>
          <t>پرداخت وجه نظافتچی بدون رسید و کد ملی</t>
        </is>
      </c>
      <c r="D8" s="5" t="inlineStr">
        <is>
          <t>هزینه‌های عمومی و اداری (خدمات نظافت)</t>
        </is>
      </c>
      <c r="E8" s="5" t="inlineStr">
        <is>
          <t>موجودی صندوق / بانک</t>
        </is>
      </c>
      <c r="F8" s="16" t="n">
        <v>5000000</v>
      </c>
      <c r="G8" s="6" t="inlineStr">
        <is>
          <t>نظافتچی متفرقه (فاقد مشخصات)</t>
        </is>
      </c>
      <c r="H8" s="6" t="inlineStr">
        <is>
          <t>روز جاری</t>
        </is>
      </c>
      <c r="I8" s="5" t="inlineStr">
        <is>
          <t>هشدار به کاربر: هزینه فاقد فاکتور معتبر جزء هزینه‌های غیرقابل قبول مالیاتی است</t>
        </is>
      </c>
      <c r="J8" s="5" t="inlineStr">
        <is>
          <t>ماده ۱۴۷ و ۱۴۸ قانون مالیات‌های مستقیم</t>
        </is>
      </c>
    </row>
    <row r="9">
      <c r="A9" s="29" t="inlineStr">
        <is>
          <t>T008</t>
        </is>
      </c>
      <c r="B9" s="12" t="inlineStr">
        <is>
          <t>۱. پیش‌پرداخت، هزینه و دوره مالی</t>
        </is>
      </c>
      <c r="C9" s="5" t="inlineStr">
        <is>
          <t>دریافت قبض خدمات عمومی (آب/برق/گاز) پیش از سررسید</t>
        </is>
      </c>
      <c r="D9" s="5" t="inlineStr">
        <is>
          <t>هزینه آب، برق، گاز و انرژی کارگاه</t>
        </is>
      </c>
      <c r="E9" s="5" t="inlineStr">
        <is>
          <t>سایر حساب‌ها و اسناد پرداختنی جاری</t>
        </is>
      </c>
      <c r="F9" s="16" t="n">
        <v>9000000</v>
      </c>
      <c r="G9" s="6" t="inlineStr">
        <is>
          <t>شرکت توزیع نیروی برق / شرکت گاز</t>
        </is>
      </c>
      <c r="H9" s="6" t="inlineStr">
        <is>
          <t>سررسید هفته آتی</t>
        </is>
      </c>
      <c r="I9" s="5" t="inlineStr">
        <is>
          <t>ثبت تعهدی بدهی پیش از خروج نقدینگی و تعیین موعد پرداخت سررسید</t>
        </is>
      </c>
      <c r="J9" s="5" t="inlineStr">
        <is>
          <t>مبنای تعهدی استانداردهای حسابداری دولتی و بخش خصوصی</t>
        </is>
      </c>
    </row>
    <row r="10">
      <c r="A10" s="29" t="inlineStr">
        <is>
          <t>T009</t>
        </is>
      </c>
      <c r="B10" s="12" t="inlineStr">
        <is>
          <t>۱. پیش‌پرداخت، هزینه و دوره مالی</t>
        </is>
      </c>
      <c r="C10" s="5" t="inlineStr">
        <is>
          <t>شارژ شش‌ماهه پیشاپیش ساختمان اداری</t>
        </is>
      </c>
      <c r="D10" s="5" t="inlineStr">
        <is>
          <t>هزینه شارژ جاری (۲.۵ م) + پیش‌پرداخت شارژ (۱۲.۵ م)</t>
        </is>
      </c>
      <c r="E10" s="5" t="inlineStr">
        <is>
          <t>موجودی بانک / اسناد پرداختنی</t>
        </is>
      </c>
      <c r="F10" s="16" t="n">
        <v>15000000</v>
      </c>
      <c r="G10" s="6" t="inlineStr">
        <is>
          <t>مدیریت ساختمان برج اداری</t>
        </is>
      </c>
      <c r="H10" s="6" t="inlineStr">
        <is>
          <t>شش ماهه آینده</t>
        </is>
      </c>
      <c r="I10" s="5" t="inlineStr">
        <is>
          <t>تفکیک سهم ماه جاری از سهم پنج ماه آینده در دو سرفصل مجزا</t>
        </is>
      </c>
      <c r="J10" s="5" t="inlineStr">
        <is>
          <t>اصل تطابق هزینه‌ها با درآمدهای دوره مالی</t>
        </is>
      </c>
    </row>
    <row r="11">
      <c r="A11" s="29" t="inlineStr">
        <is>
          <t>T010</t>
        </is>
      </c>
      <c r="B11" s="12" t="inlineStr">
        <is>
          <t>۱. پیش‌پرداخت، هزینه و دوره مالی</t>
        </is>
      </c>
      <c r="C11" s="5" t="inlineStr">
        <is>
          <t>دستور پرداخت بدون ذکر سرفصل و مستندات</t>
        </is>
      </c>
      <c r="D11" s="5" t="inlineStr">
        <is>
          <t>نامشخص (عدم امکان صدور سند)</t>
        </is>
      </c>
      <c r="E11" s="5" t="inlineStr">
        <is>
          <t>نامشخص</t>
        </is>
      </c>
      <c r="F11" s="16" t="n">
        <v>7000000</v>
      </c>
      <c r="G11" s="6" t="inlineStr">
        <is>
          <t>نامشخص</t>
        </is>
      </c>
      <c r="H11" s="6" t="inlineStr">
        <is>
          <t>نامشخص</t>
        </is>
      </c>
      <c r="I11" s="5" t="inlineStr">
        <is>
          <t>رد قاطع ثبت حسابداری و طرح پیام: لطفاً نوع هزینه و طرف‌حساب را مشخص فرمایید</t>
        </is>
      </c>
      <c r="J11" s="5" t="inlineStr">
        <is>
          <t>قانون پایانه‌های فروشگاهی و استانداردهای اسناد حسابداری</t>
        </is>
      </c>
    </row>
    <row r="12">
      <c r="A12" s="29" t="inlineStr">
        <is>
          <t>T011</t>
        </is>
      </c>
      <c r="B12" s="12" t="inlineStr">
        <is>
          <t>۲. دارایی ثابت، استهلاک و مخارج سرمایه‌ای</t>
        </is>
      </c>
      <c r="C12" s="5" t="inlineStr">
        <is>
          <t>خرید رایانه و لپ‌تاپ جهت واحد طراحی</t>
        </is>
      </c>
      <c r="D12" s="5" t="inlineStr">
        <is>
          <t>دارایی ثابت مشهود - تجهیزات و ماشین‌آلات اداری</t>
        </is>
      </c>
      <c r="E12" s="5" t="inlineStr">
        <is>
          <t>موجودی بانک تجارت</t>
        </is>
      </c>
      <c r="F12" s="16" t="n">
        <v>48000000</v>
      </c>
      <c r="G12" s="6" t="inlineStr">
        <is>
          <t>فروشگاه رایانه / شرکت پارس</t>
        </is>
      </c>
      <c r="H12" s="6" t="inlineStr">
        <is>
          <t>روز جاری</t>
        </is>
      </c>
      <c r="I12" s="5" t="inlineStr">
        <is>
          <t>ثبت در سرفصل دارایی ثابت و صدور پلاک اموال و شروع استهلاک از ماه بعد</t>
        </is>
      </c>
      <c r="J12" s="5" t="inlineStr">
        <is>
          <t>استاندارد حسابداری ۱۱ (دارایی‌های ثابت مشهود)</t>
        </is>
      </c>
    </row>
    <row r="13">
      <c r="A13" s="29" t="inlineStr">
        <is>
          <t>T012</t>
        </is>
      </c>
      <c r="B13" s="12" t="inlineStr">
        <is>
          <t>۲. دارایی ثابت، استهلاک و مخارج سرمایه‌ای</t>
        </is>
      </c>
      <c r="C13" s="5" t="inlineStr">
        <is>
          <t>تعمیر اساسی و افزایش ظرفیت خط تولید</t>
        </is>
      </c>
      <c r="D13" s="5" t="inlineStr">
        <is>
          <t>دارایی ثابت مشهود - ماشین‌آلات کارخانه</t>
        </is>
      </c>
      <c r="E13" s="5" t="inlineStr">
        <is>
          <t>موجودی بانک / حساب‌های پرداختنی</t>
        </is>
      </c>
      <c r="F13" s="16" t="n">
        <v>350000000</v>
      </c>
      <c r="G13" s="6" t="inlineStr">
        <is>
          <t>پیمانکار فنی و مهندسی ماشین‌آلات</t>
        </is>
      </c>
      <c r="H13" s="6" t="inlineStr">
        <is>
          <t>دوره جاری</t>
        </is>
      </c>
      <c r="I13" s="5" t="inlineStr">
        <is>
          <t>سرمایه‌ای منظور کردن مخارج (افزایش ارزش دفتری و تجدید عمر مفید)</t>
        </is>
      </c>
      <c r="J13" s="5" t="inlineStr">
        <is>
          <t>استاندارد حسابداری ۱۱ (مخارج بعدی دارایی‌های ثابت)</t>
        </is>
      </c>
    </row>
    <row r="14">
      <c r="A14" s="29" t="inlineStr">
        <is>
          <t>T013</t>
        </is>
      </c>
      <c r="B14" s="12" t="inlineStr">
        <is>
          <t>۲. دارایی ثابت، استهلاک و مخارج سرمایه‌ای</t>
        </is>
      </c>
      <c r="C14" s="5" t="inlineStr">
        <is>
          <t>فاکتور مشترک تعمیرات جزئی و اساسی خودرو</t>
        </is>
      </c>
      <c r="D14" s="5" t="inlineStr">
        <is>
          <t>هزینه تعمیرات جاری (۸۰۰ هـ) + دارایی ثابت وسایط نقلیه (۸۰ م)</t>
        </is>
      </c>
      <c r="E14" s="5" t="inlineStr">
        <is>
          <t>موجودی بانک / پرداختنی تجاری</t>
        </is>
      </c>
      <c r="F14" s="16" t="n">
        <v>80800000</v>
      </c>
      <c r="G14" s="6" t="inlineStr">
        <is>
          <t>تعمیرگاه تخصصی خودرو البرز</t>
        </is>
      </c>
      <c r="H14" s="6" t="inlineStr">
        <is>
          <t>روز جاری</t>
        </is>
      </c>
      <c r="I14" s="5" t="inlineStr">
        <is>
          <t>تفکیک فاکتور واحد به هزینه جاری عملیاتی و مخارج سرمایه‌ای دارایی</t>
        </is>
      </c>
      <c r="J14" s="5" t="inlineStr">
        <is>
          <t>تفکیک هزینه جاری از سرمایه‌ای استاندارد ۱۱ و ماده ۱۴۹ ق.م.م</t>
        </is>
      </c>
    </row>
    <row r="15">
      <c r="A15" s="29" t="inlineStr">
        <is>
          <t>T014</t>
        </is>
      </c>
      <c r="B15" s="12" t="inlineStr">
        <is>
          <t>۲. دارایی ثابت، استهلاک و مخارج سرمایه‌ای</t>
        </is>
      </c>
      <c r="C15" s="5" t="inlineStr">
        <is>
          <t>شناسایی استهلاک ماهانه ماشین‌آلات تولیدی</t>
        </is>
      </c>
      <c r="D15" s="5" t="inlineStr">
        <is>
          <t>سربار تولید (هزینه استهلاک ماشین‌آلات)</t>
        </is>
      </c>
      <c r="E15" s="5" t="inlineStr">
        <is>
          <t>استهلاک انباشته ماشین‌آلات</t>
        </is>
      </c>
      <c r="F15" s="16" t="n">
        <v>22000000</v>
      </c>
      <c r="G15" s="6" t="inlineStr">
        <is>
          <t>واحد تولید و حسابداری صنعتی</t>
        </is>
      </c>
      <c r="H15" s="6" t="inlineStr">
        <is>
          <t>پایان ماه جاری</t>
        </is>
      </c>
      <c r="I15" s="5" t="inlineStr">
        <is>
          <t>ثبت سند تسهیمی در بهای تمام‌شده کالای در جریان ساخت</t>
        </is>
      </c>
      <c r="J15" s="5" t="inlineStr">
        <is>
          <t>جدول استهلاکات موضوع ماده ۱۴۹ قانون مالیات‌های مستقیم</t>
        </is>
      </c>
    </row>
    <row r="16">
      <c r="A16" s="29" t="inlineStr">
        <is>
          <t>T015</t>
        </is>
      </c>
      <c r="B16" s="12" t="inlineStr">
        <is>
          <t>۲. دارایی ثابت، استهلاک و مخارج سرمایه‌ای</t>
        </is>
      </c>
      <c r="C16" s="5" t="inlineStr">
        <is>
          <t>فروش نقدی وانت شرکت با سود سرمایه‌ای</t>
        </is>
      </c>
      <c r="D16" s="5" t="inlineStr">
        <is>
          <t>بانک پاسارگاد (۱۱۰ م) + استهلاک انباشته وانت</t>
        </is>
      </c>
      <c r="E16" s="5" t="inlineStr">
        <is>
          <t>دارایی ثابت وانت (بهای تمام‌شده) + سود فروش دارایی (۷۰ م)</t>
        </is>
      </c>
      <c r="F16" s="16" t="n">
        <v>110000000</v>
      </c>
      <c r="G16" s="6" t="inlineStr">
        <is>
          <t>خریدار خودرو (شخص ثالث)</t>
        </is>
      </c>
      <c r="H16" s="6" t="inlineStr">
        <is>
          <t>روز جاری</t>
        </is>
      </c>
      <c r="I16" s="5" t="inlineStr">
        <is>
          <t>خروج کامل دارایی از دفاتر و شناسایی درآمد غیرعملیاتی سود فروش دارایی</t>
        </is>
      </c>
      <c r="J16" s="5" t="inlineStr">
        <is>
          <t>استاندارد حسابداری ۱۱ و مواد ۱۰۵ و ۱۲۸ ق.م.م</t>
        </is>
      </c>
    </row>
    <row r="17">
      <c r="A17" s="29" t="inlineStr">
        <is>
          <t>T016</t>
        </is>
      </c>
      <c r="B17" s="12" t="inlineStr">
        <is>
          <t>۲. دارایی ثابت، استهلاک و مخارج سرمایه‌ای</t>
        </is>
      </c>
      <c r="C17" s="5" t="inlineStr">
        <is>
          <t>پرداخت بیعانه خرید زمین شهرک صنعتی</t>
        </is>
      </c>
      <c r="D17" s="5" t="inlineStr">
        <is>
          <t>پیش‌پرداخت سرمایه‌ای - خرید زمین</t>
        </is>
      </c>
      <c r="E17" s="5" t="inlineStr">
        <is>
          <t>موجودی بانک</t>
        </is>
      </c>
      <c r="F17" s="16" t="n">
        <v>20000000</v>
      </c>
      <c r="G17" s="6" t="inlineStr">
        <is>
          <t>مشاور املاک و فروشنده زمین</t>
        </is>
      </c>
      <c r="H17" s="6" t="inlineStr">
        <is>
          <t>موقت تا انعقاد مبایعه‌نامه</t>
        </is>
      </c>
      <c r="I17" s="5" t="inlineStr">
        <is>
          <t>عدم شناسایی در زمین تا زمان انتقال ریسک و مزایا و سند ثبتی قطعی</t>
        </is>
      </c>
      <c r="J17" s="5" t="inlineStr">
        <is>
          <t>استاندارد حسابداری ۱۱ (شناخت دارایی ثابت)</t>
        </is>
      </c>
    </row>
    <row r="18">
      <c r="A18" s="29" t="inlineStr">
        <is>
          <t>T017</t>
        </is>
      </c>
      <c r="B18" s="12" t="inlineStr">
        <is>
          <t>۲. دارایی ثابت، استهلاک و مخارج سرمایه‌ای</t>
        </is>
      </c>
      <c r="C18" s="5" t="inlineStr">
        <is>
          <t>خرید نسیه مبلمان و میز کنفرانس اداری</t>
        </is>
      </c>
      <c r="D18" s="5" t="inlineStr">
        <is>
          <t>دارایی ثابت مشهود - اثاثه و تجهیزات اداری</t>
        </is>
      </c>
      <c r="E18" s="5" t="inlineStr">
        <is>
          <t>حساب‌های پرداختنی تجاری / غیرتجاری</t>
        </is>
      </c>
      <c r="F18" s="16" t="n">
        <v>75000000</v>
      </c>
      <c r="G18" s="6" t="inlineStr">
        <is>
          <t>شرکت تولیدی مبلمان اداری البرز</t>
        </is>
      </c>
      <c r="H18" s="6" t="inlineStr">
        <is>
          <t>سررسید دو ماهه آینده</t>
        </is>
      </c>
      <c r="I18" s="5" t="inlineStr">
        <is>
          <t>ثبت دارایی ثابت بدون خروج وجه و درج تاریخ سررسید تعهد پرداختنی</t>
        </is>
      </c>
      <c r="J18" s="5" t="inlineStr">
        <is>
          <t>استاندارد حسابداری ۱۱ و استاندارد بدهی‌ها</t>
        </is>
      </c>
    </row>
    <row r="19">
      <c r="A19" s="29" t="inlineStr">
        <is>
          <t>T018</t>
        </is>
      </c>
      <c r="B19" s="12" t="inlineStr">
        <is>
          <t>۲. دارایی ثابت، استهلاک و مخارج سرمایه‌ای</t>
        </is>
      </c>
      <c r="C19" s="5" t="inlineStr">
        <is>
          <t>اسقاط دستگاه سوخته و فروش لاشه به ضایعاتی</t>
        </is>
      </c>
      <c r="D19" s="5" t="inlineStr">
        <is>
          <t>صندوق نقد (۳ م) + زیان کنارگذاری دارایی (۱۲ م)</t>
        </is>
      </c>
      <c r="E19" s="5" t="inlineStr">
        <is>
          <t>دارایی ثابت مشهود - تجهیزات دفتری (۱۵ م)</t>
        </is>
      </c>
      <c r="F19" s="16" t="n">
        <v>15000000</v>
      </c>
      <c r="G19" s="6" t="inlineStr">
        <is>
          <t>خریدار ضایعات</t>
        </is>
      </c>
      <c r="H19" s="6" t="inlineStr">
        <is>
          <t>روز جاری</t>
        </is>
      </c>
      <c r="I19" s="5" t="inlineStr">
        <is>
          <t>حذف دارایی مستهلک از دفاتر و شناسایی زیان غیرعملیاتی کنارگذاری</t>
        </is>
      </c>
      <c r="J19" s="5" t="inlineStr">
        <is>
          <t>استاندارد حسابداری ۱۱ (حذف و واگذاری دارایی‌ها)</t>
        </is>
      </c>
    </row>
    <row r="20">
      <c r="A20" s="29" t="inlineStr">
        <is>
          <t>T019</t>
        </is>
      </c>
      <c r="B20" s="12" t="inlineStr">
        <is>
          <t>۲. دارایی ثابت، استهلاک و مخارج سرمایه‌ای</t>
        </is>
      </c>
      <c r="C20" s="5" t="inlineStr">
        <is>
          <t>پرداخت صورت‌وضعیت سوله جدید در حال ساخت</t>
        </is>
      </c>
      <c r="D20" s="5" t="inlineStr">
        <is>
          <t>دارایی‌های ثابت در جریان ساخت و تکمیل</t>
        </is>
      </c>
      <c r="E20" s="5" t="inlineStr">
        <is>
          <t>موجودی بانک سپه</t>
        </is>
      </c>
      <c r="F20" s="16" t="n">
        <v>100000000</v>
      </c>
      <c r="G20" s="6" t="inlineStr">
        <is>
          <t>پیمانکار احداث ابنیه سوله</t>
        </is>
      </c>
      <c r="H20" s="6" t="inlineStr">
        <is>
          <t>پروژه جاری کارخانه</t>
        </is>
      </c>
      <c r="I20" s="5" t="inlineStr">
        <is>
          <t>ثبت در حساب سرمایه‌ای واسط تا پیش از زمان بهره‌برداری رسمی و استهلاک</t>
        </is>
      </c>
      <c r="J20" s="5" t="inlineStr">
        <is>
          <t>استاندارد حسابداری ۱۱ و ۱۶ (هزینه‌های تامین مالی)</t>
        </is>
      </c>
    </row>
    <row r="21">
      <c r="A21" s="29" t="inlineStr">
        <is>
          <t>T020</t>
        </is>
      </c>
      <c r="B21" s="12" t="inlineStr">
        <is>
          <t>۲. دارایی ثابت، استهلاک و مخارج سرمایه‌ای</t>
        </is>
      </c>
      <c r="C21" s="5" t="inlineStr">
        <is>
          <t>خرید وسیله انبار با تردید در سرمایه‌ای یا مصرفی بودن</t>
        </is>
      </c>
      <c r="D21" s="5" t="inlineStr">
        <is>
          <t>دارایی یا ملزومات مصرفی (مشروط به استعلام)</t>
        </is>
      </c>
      <c r="E21" s="5" t="inlineStr">
        <is>
          <t>موجودی بانک / پرداختنی</t>
        </is>
      </c>
      <c r="F21" s="16" t="n">
        <v>60000000</v>
      </c>
      <c r="G21" s="6" t="inlineStr">
        <is>
          <t>فروشنده ابزارآلات صنعتی</t>
        </is>
      </c>
      <c r="H21" s="6" t="inlineStr">
        <is>
          <t>روز جاری</t>
        </is>
      </c>
      <c r="I21" s="5" t="inlineStr">
        <is>
          <t>طرح سؤال شفاف‌سازی: عمر مفید قطعه بالای ۱ سال است یا در دوره مصرف می‌شود؟</t>
        </is>
      </c>
      <c r="J21" s="5" t="inlineStr">
        <is>
          <t>آیین‌نامه حدنصاب معاملات کوچک و بزرگ و استاندارد ۱۱</t>
        </is>
      </c>
    </row>
    <row r="22">
      <c r="A22" s="29" t="inlineStr">
        <is>
          <t>T021</t>
        </is>
      </c>
      <c r="B22" s="12" t="inlineStr">
        <is>
          <t>۳. موجودی کالا، انبار و خرید و فروش</t>
        </is>
      </c>
      <c r="C22" s="5" t="inlineStr">
        <is>
          <t>خرید رسمی ۲۰۰ کارتن قطعه الکترونیکی نقدی</t>
        </is>
      </c>
      <c r="D22" s="5" t="inlineStr">
        <is>
          <t>موجودی مواد و کالا (قطعات الکترونیک)</t>
        </is>
      </c>
      <c r="E22" s="5" t="inlineStr">
        <is>
          <t>موجودی حساب بانک</t>
        </is>
      </c>
      <c r="F22" s="16" t="n">
        <v>100000000</v>
      </c>
      <c r="G22" s="6" t="inlineStr">
        <is>
          <t>شرکت پارس الکتریک</t>
        </is>
      </c>
      <c r="H22" s="6" t="inlineStr">
        <is>
          <t>روز جاری</t>
        </is>
      </c>
      <c r="I22" s="5" t="inlineStr">
        <is>
          <t>افزایش کاردکس انبار و کاهش نقدینگی بر اساس فاکتور خرید معتبر</t>
        </is>
      </c>
      <c r="J22" s="5" t="inlineStr">
        <is>
          <t>استاندارد حسابداری ۸ (موجودی مواد و کالا)</t>
        </is>
      </c>
    </row>
    <row r="23">
      <c r="A23" s="29" t="inlineStr">
        <is>
          <t>T022</t>
        </is>
      </c>
      <c r="B23" s="12" t="inlineStr">
        <is>
          <t>۳. موجودی کالا، انبار و خرید و فروش</t>
        </is>
      </c>
      <c r="C23" s="5" t="inlineStr">
        <is>
          <t>برگشت از خرید کالای معیوب به تامین‌کننده</t>
        </is>
      </c>
      <c r="D23" s="5" t="inlineStr">
        <is>
          <t>حساب‌های پرداختنی تجاری تامین‌کننده</t>
        </is>
      </c>
      <c r="E23" s="5" t="inlineStr">
        <is>
          <t>برگشت از خرید و تخفیفات کالا</t>
        </is>
      </c>
      <c r="F23" s="16" t="n">
        <v>25000000</v>
      </c>
      <c r="G23" s="6" t="inlineStr">
        <is>
          <t>تامین‌کننده کالا (فروشنده اصلی)</t>
        </is>
      </c>
      <c r="H23" s="6" t="inlineStr">
        <is>
          <t>روز جاری</t>
        </is>
      </c>
      <c r="I23" s="5" t="inlineStr">
        <is>
          <t>کاهش بدهی به تامین‌کننده و خروج مقدار کالا از سیستم کاردکس انبار</t>
        </is>
      </c>
      <c r="J23" s="5" t="inlineStr">
        <is>
          <t>استاندارد ۸ حسابداری و آیین‌نامه اجرایی ماده ۹۵ ق.م.م</t>
        </is>
      </c>
    </row>
    <row r="24">
      <c r="A24" s="29" t="inlineStr">
        <is>
          <t>T023</t>
        </is>
      </c>
      <c r="B24" s="12" t="inlineStr">
        <is>
          <t>۳. موجودی کالا، انبار و خرید و فروش</t>
        </is>
      </c>
      <c r="C24" s="5" t="inlineStr">
        <is>
          <t>فروش تجاری همراه با تخفیف پای معامله و دریافت چک</t>
        </is>
      </c>
      <c r="D24" s="5" t="inlineStr">
        <is>
          <t>اسناد دریافتنی تجاری (۷۵ م)</t>
        </is>
      </c>
      <c r="E24" s="5" t="inlineStr">
        <is>
          <t>درآمد فروش کالا (خالص ۷۵ م)</t>
        </is>
      </c>
      <c r="F24" s="16" t="n">
        <v>80000000</v>
      </c>
      <c r="G24" s="6" t="inlineStr">
        <is>
          <t>فروشگاه رضوی</t>
        </is>
      </c>
      <c r="H24" s="6" t="inlineStr">
        <is>
          <t>سررسید چک ۴۵ روز بعد</t>
        </is>
      </c>
      <c r="I24" s="5" t="inlineStr">
        <is>
          <t>ثبت درآمد به خالص پس از کسر تخفیف تجاری و ثبت اسناد دریافتنی صیادی</t>
        </is>
      </c>
      <c r="J24" s="5" t="inlineStr">
        <is>
          <t>استاندارد حسابداری ۳ (درآمد عملیاتی) و استاندارد ۸</t>
        </is>
      </c>
    </row>
    <row r="25">
      <c r="A25" s="29" t="inlineStr">
        <is>
          <t>T024</t>
        </is>
      </c>
      <c r="B25" s="12" t="inlineStr">
        <is>
          <t>۳. موجودی کالا، انبار و خرید و فروش</t>
        </is>
      </c>
      <c r="C25" s="5" t="inlineStr">
        <is>
          <t>کشف کسری انبار در جریان انبارگردانی دوره‌ای</t>
        </is>
      </c>
      <c r="D25" s="5" t="inlineStr">
        <is>
          <t>حساب کسری و اضافات انبار (انتظامی/واسط)</t>
        </is>
      </c>
      <c r="E25" s="5" t="inlineStr">
        <is>
          <t>موجودی مواد و کالا</t>
        </is>
      </c>
      <c r="F25" s="16" t="n">
        <v>15000000</v>
      </c>
      <c r="G25" s="6" t="inlineStr">
        <is>
          <t>انباردار / شرکت بیمه</t>
        </is>
      </c>
      <c r="H25" s="6" t="inlineStr">
        <is>
          <t>پایان دوره انبارگردانی</t>
        </is>
      </c>
      <c r="I25" s="5" t="inlineStr">
        <is>
          <t>طرح سؤال: آیا کسری ناشی از تبخیر طبیعی است یا قصور پرسنل و سرقت؟</t>
        </is>
      </c>
      <c r="J25" s="5" t="inlineStr">
        <is>
          <t>استاندارد حسابداری ۸ و دستورالعمل انبارگردانی سازمان حسابرسی</t>
        </is>
      </c>
    </row>
    <row r="26">
      <c r="A26" s="29" t="inlineStr">
        <is>
          <t>T025</t>
        </is>
      </c>
      <c r="B26" s="12" t="inlineStr">
        <is>
          <t>۳. موجودی کالا، انبار و خرید و فروش</t>
        </is>
      </c>
      <c r="C26" s="5" t="inlineStr">
        <is>
          <t>فروش عمده همراه با ارزش افزوده ترکیبی نقدی و نسیه</t>
        </is>
      </c>
      <c r="D26" s="5" t="inlineStr">
        <is>
          <t>بانک (۲۲۰ م) + حساب‌های دریافتنی تجاری (۲۲۰ م)</t>
        </is>
      </c>
      <c r="E26" s="5" t="inlineStr">
        <is>
          <t>درآمد فروش کالا (۴۰۰ م) + مالیات و عوارض ارزش افزوده (۴۰ م)</t>
        </is>
      </c>
      <c r="F26" s="16" t="n">
        <v>440000000</v>
      </c>
      <c r="G26" s="6" t="inlineStr">
        <is>
          <t>شرکت توزیع و پخش تهران</t>
        </is>
      </c>
      <c r="H26" s="6" t="inlineStr">
        <is>
          <t>نسیه سررسید یک‌ماهه</t>
        </is>
      </c>
      <c r="I26" s="5" t="inlineStr">
        <is>
          <t>تفکیک دقیق درآمد اصلی از بدهی مالیات تکلیفی ارزش افزوده و نحوه دریافت</t>
        </is>
      </c>
      <c r="J26" s="5" t="inlineStr">
        <is>
          <t>قانون دائمی مالیات بر ارزش افزوده و استاندارد ۳ حسابداری</t>
        </is>
      </c>
    </row>
    <row r="27">
      <c r="A27" s="29" t="inlineStr">
        <is>
          <t>T026</t>
        </is>
      </c>
      <c r="B27" s="12" t="inlineStr">
        <is>
          <t>۳. موجودی کالا، انبار و خرید و فروش</t>
        </is>
      </c>
      <c r="C27" s="5" t="inlineStr">
        <is>
          <t>هزینه باربری و حمل مواد اولیه از بندر تا انبار</t>
        </is>
      </c>
      <c r="D27" s="5" t="inlineStr">
        <is>
          <t>موجودی کالا / بهای تمام‌شده خرید کالا</t>
        </is>
      </c>
      <c r="E27" s="5" t="inlineStr">
        <is>
          <t>موجودی صندوق / بانک</t>
        </is>
      </c>
      <c r="F27" s="16" t="n">
        <v>18000000</v>
      </c>
      <c r="G27" s="6" t="inlineStr">
        <is>
          <t>راننده ترانزیت / پایانه باربری</t>
        </is>
      </c>
      <c r="H27" s="6" t="inlineStr">
        <is>
          <t>روز جاری</t>
        </is>
      </c>
      <c r="I27" s="5" t="inlineStr">
        <is>
          <t>منظور نمودن مستقیم هزینه حمل در بهای تمام‌شده کاردکس کالا (نه هزینه دوره)</t>
        </is>
      </c>
      <c r="J27" s="5" t="inlineStr">
        <is>
          <t>استاندارد حسابداری ۸ (بندهای بهای خرید و مخارج حمل)</t>
        </is>
      </c>
    </row>
    <row r="28">
      <c r="A28" s="29" t="inlineStr">
        <is>
          <t>T027</t>
        </is>
      </c>
      <c r="B28" s="12" t="inlineStr">
        <is>
          <t>۳. موجودی کالا، انبار و خرید و فروش</t>
        </is>
      </c>
      <c r="C28" s="5" t="inlineStr">
        <is>
          <t>خروج غیررسمی کالا با قیمت شناور و نامشخص</t>
        </is>
      </c>
      <c r="D28" s="5" t="inlineStr">
        <is>
          <t>کالای امانی نزد دیگران (یا توقف ثبت)</t>
        </is>
      </c>
      <c r="E28" s="5" t="inlineStr">
        <is>
          <t>موجودی انبار (حواله خروج امانی)</t>
        </is>
      </c>
      <c r="F28" s="16" t="n">
        <v>22000000</v>
      </c>
      <c r="G28" s="6" t="inlineStr">
        <is>
          <t>مشتری متفرقه</t>
        </is>
      </c>
      <c r="H28" s="6" t="inlineStr">
        <is>
          <t>روز جاری</t>
        </is>
      </c>
      <c r="I28" s="5" t="inlineStr">
        <is>
          <t>رد صدور فاکتور فروش قطعی به دلیل عدم قطعیت در مبلغ و توافق معامله</t>
        </is>
      </c>
      <c r="J28" s="5" t="inlineStr">
        <is>
          <t>ماده ۱۱ قانون مالیات بر ارزش افزوده و اصل تحقق درآمد</t>
        </is>
      </c>
    </row>
    <row r="29">
      <c r="A29" s="29" t="inlineStr">
        <is>
          <t>T028</t>
        </is>
      </c>
      <c r="B29" s="12" t="inlineStr">
        <is>
          <t>۳. موجودی کالا، انبار و خرید و فروش</t>
        </is>
      </c>
      <c r="C29" s="5" t="inlineStr">
        <is>
          <t>ضایعات ملزومات ناشی از حادثه ترکیدگی لوله انبار</t>
        </is>
      </c>
      <c r="D29" s="5" t="inlineStr">
        <is>
          <t>سایر هزینه‌ها و زیان‌های غیرعملیاتی (حوادث غیرمترقبه)</t>
        </is>
      </c>
      <c r="E29" s="5" t="inlineStr">
        <is>
          <t>موجودی ملزومات بسته‌بندی انبار</t>
        </is>
      </c>
      <c r="F29" s="16" t="n">
        <v>10000000</v>
      </c>
      <c r="G29" s="6" t="inlineStr">
        <is>
          <t>واحد انبار و تاسیسات</t>
        </is>
      </c>
      <c r="H29" s="6" t="inlineStr">
        <is>
          <t>روز جاری</t>
        </is>
      </c>
      <c r="I29" s="5" t="inlineStr">
        <is>
          <t>حذف دارایی ضایع‌شده از دفاتر و عدم تسهیم در بهای تمام‌شده کالا</t>
        </is>
      </c>
      <c r="J29" s="5" t="inlineStr">
        <is>
          <t>استاندارد حسابداری ۸ و ماده ۱۴۸ قانون مالیات‌های مستقیم</t>
        </is>
      </c>
    </row>
    <row r="30">
      <c r="A30" s="29" t="inlineStr">
        <is>
          <t>T029</t>
        </is>
      </c>
      <c r="B30" s="12" t="inlineStr">
        <is>
          <t>۳. موجودی کالا، انبار و خرید و فروش</t>
        </is>
      </c>
      <c r="C30" s="5" t="inlineStr">
        <is>
          <t>مرجوعی کالا توسط مشتری به دلیل مغایرت کیفی</t>
        </is>
      </c>
      <c r="D30" s="5" t="inlineStr">
        <is>
          <t>برگشت از فروش و تخفیفات تجاری</t>
        </is>
      </c>
      <c r="E30" s="5" t="inlineStr">
        <is>
          <t>موجودی بانک / استرداد وجه نقد</t>
        </is>
      </c>
      <c r="F30" s="16" t="n">
        <v>30000000</v>
      </c>
      <c r="G30" s="6" t="inlineStr">
        <is>
          <t>مشتری خریدار کالا</t>
        </is>
      </c>
      <c r="H30" s="6" t="inlineStr">
        <is>
          <t>روز جاری</t>
        </is>
      </c>
      <c r="I30" s="5" t="inlineStr">
        <is>
          <t>کاهش درآمد فروش دوره و بازگشت اقلام به موجودی انبار به قیمت تمام‌شده</t>
        </is>
      </c>
      <c r="J30" s="5" t="inlineStr">
        <is>
          <t>استاندارد حسابداری ۳ و استانداردهای اندازه‌گیری سود ناخالص</t>
        </is>
      </c>
    </row>
    <row r="31">
      <c r="A31" s="29" t="inlineStr">
        <is>
          <t>T030</t>
        </is>
      </c>
      <c r="B31" s="12" t="inlineStr">
        <is>
          <t>۳. موجودی کالا، انبار و خرید و فروش</t>
        </is>
      </c>
      <c r="C31" s="5" t="inlineStr">
        <is>
          <t>تخلیه بار سنگین در کارخانه بدون بارنامه و فاکتور رسمی</t>
        </is>
      </c>
      <c r="D31" s="5" t="inlineStr">
        <is>
          <t>موجودی کالا - کاردکس تعدادی انبار</t>
        </is>
      </c>
      <c r="E31" s="5" t="inlineStr">
        <is>
          <t>کالای نرسیده و حساب‌های پرداختنی تعهدی برآوردی</t>
        </is>
      </c>
      <c r="F31" s="16" t="n">
        <v>600000000</v>
      </c>
      <c r="G31" s="6" t="inlineStr">
        <is>
          <t>تامین‌کننده ناشناس / راننده تریلی</t>
        </is>
      </c>
      <c r="H31" s="6" t="inlineStr">
        <is>
          <t>روز جاری</t>
        </is>
      </c>
      <c r="I31" s="5" t="inlineStr">
        <is>
          <t>طرح سؤال: بارنامه و فاکتور تامین‌کننده کجاست؟ صدور رسید موقت انبار</t>
        </is>
      </c>
      <c r="J31" s="5" t="inlineStr">
        <is>
          <t>آیین‌نامه انبارداری و دستورالعمل کنترل‌های داخلی شرکت‌ها</t>
        </is>
      </c>
    </row>
    <row r="32">
      <c r="A32" s="29" t="inlineStr">
        <is>
          <t>T031</t>
        </is>
      </c>
      <c r="B32" s="12" t="inlineStr">
        <is>
          <t>۴. دریافتنی و پرداختنی تجاری</t>
        </is>
      </c>
      <c r="C32" s="5" t="inlineStr">
        <is>
          <t>وصول مطالبات فروش از مشتری به حساب بانکی</t>
        </is>
      </c>
      <c r="D32" s="5" t="inlineStr">
        <is>
          <t>موجودی حساب بانک ملت</t>
        </is>
      </c>
      <c r="E32" s="5" t="inlineStr">
        <is>
          <t>حساب‌های دریافتنی تجاری (آقای محمدی)</t>
        </is>
      </c>
      <c r="F32" s="16" t="n">
        <v>50000000</v>
      </c>
      <c r="G32" s="6" t="inlineStr">
        <is>
          <t>آقای محمدی (مشتری)</t>
        </is>
      </c>
      <c r="H32" s="6" t="inlineStr">
        <is>
          <t>روز جاری</t>
        </is>
      </c>
      <c r="I32" s="5" t="inlineStr">
        <is>
          <t>تسویه کامل حساب دریافتنی و تطبیق با فاکتورهای فروش قبلی</t>
        </is>
      </c>
      <c r="J32" s="5" t="inlineStr">
        <is>
          <t>استاندارد حسابداری ۱ و استانداردهای دارایی‌های جاری</t>
        </is>
      </c>
    </row>
    <row r="33">
      <c r="A33" s="29" t="inlineStr">
        <is>
          <t>T032</t>
        </is>
      </c>
      <c r="B33" s="12" t="inlineStr">
        <is>
          <t>۴. دریافتنی و پرداختنی تجاری</t>
        </is>
      </c>
      <c r="C33" s="5" t="inlineStr">
        <is>
          <t>وصول زودهنگام طلب با اعطای تخفیف نقدی فروش</t>
        </is>
      </c>
      <c r="D33" s="5" t="inlineStr">
        <is>
          <t>بانک (۷۰ م) + تخفیفات نقدی فروش (۵ م)</t>
        </is>
      </c>
      <c r="E33" s="5" t="inlineStr">
        <is>
          <t>حساب‌های دریافتنی تجاری (شرکت بهرامی ۷۵ م)</t>
        </is>
      </c>
      <c r="F33" s="16" t="n">
        <v>75000000</v>
      </c>
      <c r="G33" s="6" t="inlineStr">
        <is>
          <t>شرکت بهرامی (مشتری تجاری)</t>
        </is>
      </c>
      <c r="H33" s="6" t="inlineStr">
        <is>
          <t>روز جاری</t>
        </is>
      </c>
      <c r="I33" s="5" t="inlineStr">
        <is>
          <t>تفکیک وجه نقد واریزی از سرفصل تخفیفات نقدی ناشی از تسویه تسریع‌شده</t>
        </is>
      </c>
      <c r="J33" s="5" t="inlineStr">
        <is>
          <t>استاندارد ۳ حسابداری (تخفیفات نقدی و تسویه حساب‌ها)</t>
        </is>
      </c>
    </row>
    <row r="34">
      <c r="A34" s="29" t="inlineStr">
        <is>
          <t>T033</t>
        </is>
      </c>
      <c r="B34" s="12" t="inlineStr">
        <is>
          <t>۴. دریافتنی و پرداختنی تجاری</t>
        </is>
      </c>
      <c r="C34" s="5" t="inlineStr">
        <is>
          <t>واریز وجه به تامین‌کننده با ابهام در نوع معامله</t>
        </is>
      </c>
      <c r="D34" s="5" t="inlineStr">
        <is>
          <t>حساب‌های پرداختنی یا پیش‌پرداخت (مشروط)</t>
        </is>
      </c>
      <c r="E34" s="5" t="inlineStr">
        <is>
          <t>موجودی حساب بانک</t>
        </is>
      </c>
      <c r="F34" s="16" t="n">
        <v>30000000</v>
      </c>
      <c r="G34" s="6" t="inlineStr">
        <is>
          <t>آقای کاظمی (تامین‌کننده آهن)</t>
        </is>
      </c>
      <c r="H34" s="6" t="inlineStr">
        <is>
          <t>روز جاری</t>
        </is>
      </c>
      <c r="I34" s="5" t="inlineStr">
        <is>
          <t>استعلام خودکار کاردکس بستانکاری: اگر مانده طلب دارد تسویه، وگرنه پیش‌پرداخت</t>
        </is>
      </c>
      <c r="J34" s="5" t="inlineStr">
        <is>
          <t>اصول کنترل داخلی خزانه‌داری و صدور اسناد پرداختنی</t>
        </is>
      </c>
    </row>
    <row r="35">
      <c r="A35" s="29" t="inlineStr">
        <is>
          <t>T034</t>
        </is>
      </c>
      <c r="B35" s="12" t="inlineStr">
        <is>
          <t>۴. دریافتنی و پرداختنی تجاری</t>
        </is>
      </c>
      <c r="C35" s="5" t="inlineStr">
        <is>
          <t>سوخت شدن مطالبات ناشی از ورشکستگی و فرار مشتری</t>
        </is>
      </c>
      <c r="D35" s="5" t="inlineStr">
        <is>
          <t>ذخیره مطالبات مشکوک‌الوصول (یا هزینه سوخت مطالبات)</t>
        </is>
      </c>
      <c r="E35" s="5" t="inlineStr">
        <is>
          <t>حساب‌های دریافتنی تجاری (شرکت نوین)</t>
        </is>
      </c>
      <c r="F35" s="16" t="n">
        <v>40000000</v>
      </c>
      <c r="G35" s="6" t="inlineStr">
        <is>
          <t>شرکت نوین (بدهکار ورشکسته)</t>
        </is>
      </c>
      <c r="H35" s="6" t="inlineStr">
        <is>
          <t>پایان سال جاری</t>
        </is>
      </c>
      <c r="I35" s="5" t="inlineStr">
        <is>
          <t>خروج قطعی طلب از دفاتر با اخذ اسناد حقوقی و مراجع قضایی اثبات عدم وصول</t>
        </is>
      </c>
      <c r="J35" s="5" t="inlineStr">
        <is>
          <t>بند ۱۱ ماده ۱۴۸ قانون مالیات‌های مستقیم و استاندارد مطالبات</t>
        </is>
      </c>
    </row>
    <row r="36">
      <c r="A36" s="29" t="inlineStr">
        <is>
          <t>T035</t>
        </is>
      </c>
      <c r="B36" s="12" t="inlineStr">
        <is>
          <t>۴. دریافتنی و پرداختنی تجاری</t>
        </is>
      </c>
      <c r="C36" s="5" t="inlineStr">
        <is>
          <t>تسویه بدهی با دریافت تخفیف نقدی از بستانکار</t>
        </is>
      </c>
      <c r="D36" s="5" t="inlineStr">
        <is>
          <t>حساب‌های پرداختنی تجاری (تامین‌کننده کارتن ۶۰ م)</t>
        </is>
      </c>
      <c r="E36" s="5" t="inlineStr">
        <is>
          <t>بانک (۵۰ م) + تخفیفات نقدی خرید (۱۰ م)</t>
        </is>
      </c>
      <c r="F36" s="16" t="n">
        <v>60000000</v>
      </c>
      <c r="G36" s="6" t="inlineStr">
        <is>
          <t>تامین‌کننده کارتن و بسته‌بندی</t>
        </is>
      </c>
      <c r="H36" s="6" t="inlineStr">
        <is>
          <t>روز جاری</t>
        </is>
      </c>
      <c r="I36" s="5" t="inlineStr">
        <is>
          <t>تفکیک وجه خروجی از حساب درآمد حاصل از تخفیف نقدی تسویه بدهی</t>
        </is>
      </c>
      <c r="J36" s="5" t="inlineStr">
        <is>
          <t>استاندارد حسابداری ۸ و استاندارد ثبت تخفیفات تجاری</t>
        </is>
      </c>
    </row>
    <row r="37">
      <c r="A37" s="29" t="inlineStr">
        <is>
          <t>T036</t>
        </is>
      </c>
      <c r="B37" s="12" t="inlineStr">
        <is>
          <t>۴. دریافتنی و پرداختنی تجاری</t>
        </is>
      </c>
      <c r="C37" s="5" t="inlineStr">
        <is>
          <t>واریز طلب شرکت به حساب شخصی مدیر و انتقال جزئی</t>
        </is>
      </c>
      <c r="D37" s="5" t="inlineStr">
        <is>
          <t>موجودی تنخواه گردان (۴۰ م) + جاری شرکا مدیر (۲۰ م)</t>
        </is>
      </c>
      <c r="E37" s="5" t="inlineStr">
        <is>
          <t>حساب‌های دریافتنی تجاری (مشتری ۶۰ م)</t>
        </is>
      </c>
      <c r="F37" s="16" t="n">
        <v>60000000</v>
      </c>
      <c r="G37" s="6" t="inlineStr">
        <is>
          <t>مشتری شرکت و مدیرعامل</t>
        </is>
      </c>
      <c r="H37" s="6" t="inlineStr">
        <is>
          <t>روز جاری</t>
        </is>
      </c>
      <c r="I37" s="5" t="inlineStr">
        <is>
          <t>تفکیک شفاف سهم شرکت و سهم برداشت شخصی مدیرعامل با هشدار حسابرسی</t>
        </is>
      </c>
      <c r="J37" s="5" t="inlineStr">
        <is>
          <t>ماده ۱۲۹ و ۱۳۴ لایحه اصلاحی قانون تجارت و الزامات افشا</t>
        </is>
      </c>
    </row>
    <row r="38">
      <c r="A38" s="29" t="inlineStr">
        <is>
          <t>T037</t>
        </is>
      </c>
      <c r="B38" s="12" t="inlineStr">
        <is>
          <t>۴. دریافتنی و پرداختنی تجاری</t>
        </is>
      </c>
      <c r="C38" s="5" t="inlineStr">
        <is>
          <t>واریز نامشخص به حساب بانکی بدون فیش و هویت</t>
        </is>
      </c>
      <c r="D38" s="5" t="inlineStr">
        <is>
          <t>موجودی حساب بانک ملی</t>
        </is>
      </c>
      <c r="E38" s="5" t="inlineStr">
        <is>
          <t>سایر بستانکاران - وجوه واریزی نامشخص بانکی</t>
        </is>
      </c>
      <c r="F38" s="16" t="n">
        <v>22000000</v>
      </c>
      <c r="G38" s="6" t="inlineStr">
        <is>
          <t>نامشخص (شخص ناشناس)</t>
        </is>
      </c>
      <c r="H38" s="6" t="inlineStr">
        <is>
          <t>روز جاری</t>
        </is>
      </c>
      <c r="I38" s="5" t="inlineStr">
        <is>
          <t>جلوگیری از شناسایی سود یا درآمد فروش تا زمان شناسایی قطعی واریزکننده</t>
        </is>
      </c>
      <c r="J38" s="5" t="inlineStr">
        <is>
          <t>دستورالعمل مبارزه با پولشویی و استانداردهای بانکداری</t>
        </is>
      </c>
    </row>
    <row r="39">
      <c r="A39" s="29" t="inlineStr">
        <is>
          <t>T038</t>
        </is>
      </c>
      <c r="B39" s="12" t="inlineStr">
        <is>
          <t>۴. دریافتنی و پرداختنی تجاری</t>
        </is>
      </c>
      <c r="C39" s="5" t="inlineStr">
        <is>
          <t>محاسبه و ایجاد ذخیره مطالبات مشکوک‌الوصول پایان دوره</t>
        </is>
      </c>
      <c r="D39" s="5" t="inlineStr">
        <is>
          <t>هزینه مطالبات مشکوک‌الوصول (هزینه عمومی اداری)</t>
        </is>
      </c>
      <c r="E39" s="5" t="inlineStr">
        <is>
          <t>ذخیره مطالبات مشکوک‌الوصول</t>
        </is>
      </c>
      <c r="F39" s="16" t="n">
        <v>35000000</v>
      </c>
      <c r="G39" s="6" t="inlineStr">
        <is>
          <t>مشتریان و بدهکاران تجاری شرکت</t>
        </is>
      </c>
      <c r="H39" s="6" t="inlineStr">
        <is>
          <t>پایان دوره مالی</t>
        </is>
      </c>
      <c r="I39" s="5" t="inlineStr">
        <is>
          <t>محاسبه بر مبنای جدول سنی مطالبات و اعمال در صورت سود و زیان</t>
        </is>
      </c>
      <c r="J39" s="5" t="inlineStr">
        <is>
          <t>ماده ۱۴۸ قانون مالیات‌های مستقیم و استانداردهای گزارشگری مالی</t>
        </is>
      </c>
    </row>
    <row r="40">
      <c r="A40" s="29" t="inlineStr">
        <is>
          <t>T039</t>
        </is>
      </c>
      <c r="B40" s="12" t="inlineStr">
        <is>
          <t>۴. دریافتنی و پرداختنی تجاری</t>
        </is>
      </c>
      <c r="C40" s="5" t="inlineStr">
        <is>
          <t>تسویه غیرنقدی طلبکار از طریق تحویل کالا</t>
        </is>
      </c>
      <c r="D40" s="5" t="inlineStr">
        <is>
          <t>حساب‌های پرداختنی تجاری (آقای رادمنش)</t>
        </is>
      </c>
      <c r="E40" s="5" t="inlineStr">
        <is>
          <t>درآمد فروش کالا (یا موجودی کالا)</t>
        </is>
      </c>
      <c r="F40" s="16" t="n">
        <v>10000000</v>
      </c>
      <c r="G40" s="6" t="inlineStr">
        <is>
          <t>آقای رادمنش (طلبکار تجاری)</t>
        </is>
      </c>
      <c r="H40" s="6" t="inlineStr">
        <is>
          <t>روز جاری</t>
        </is>
      </c>
      <c r="I40" s="5" t="inlineStr">
        <is>
          <t>صدور فاکتور رسمی فروش و بستن حساب بدهی بدون رد و بدل وجه نقد</t>
        </is>
      </c>
      <c r="J40" s="5" t="inlineStr">
        <is>
          <t>قانون پایانه‌های فروشگاهی و استانداردهای معاوضه دارایی</t>
        </is>
      </c>
    </row>
    <row r="41">
      <c r="A41" s="29" t="inlineStr">
        <is>
          <t>T040</t>
        </is>
      </c>
      <c r="B41" s="12" t="inlineStr">
        <is>
          <t>۴. دریافتنی و پرداختنی تجاری</t>
        </is>
      </c>
      <c r="C41" s="5" t="inlineStr">
        <is>
          <t>مغایرت بازرگانی مستمر و درخواست سند تسویه صوری</t>
        </is>
      </c>
      <c r="D41" s="5" t="inlineStr">
        <is>
          <t>نامشخص (عدم امکان صدور سند تعدیل)</t>
        </is>
      </c>
      <c r="E41" s="5" t="inlineStr">
        <is>
          <t>نامشخص</t>
        </is>
      </c>
      <c r="F41" s="16" t="inlineStr">
        <is>
          <t>نامشخص</t>
        </is>
      </c>
      <c r="G41" s="6" t="inlineStr">
        <is>
          <t>برادران کمالی (مشتری/تامین‌کننده)</t>
        </is>
      </c>
      <c r="H41" s="6" t="inlineStr">
        <is>
          <t>نامشخص</t>
        </is>
      </c>
      <c r="I41" s="5" t="inlineStr">
        <is>
          <t>رد قاطع ثبت دستوری و صدور هشدار تهیه صورت مغایرت حساب اشخاص</t>
        </is>
      </c>
      <c r="J41" s="5" t="inlineStr">
        <is>
          <t>آیین‌نامه تحریر دفاتر قانونی و استانداردهای کنترل حساب‌ها</t>
        </is>
      </c>
    </row>
    <row r="42">
      <c r="A42" s="29" t="inlineStr">
        <is>
          <t>T041</t>
        </is>
      </c>
      <c r="B42" s="12" t="inlineStr">
        <is>
          <t>۵. چک و سفته و اسناد تجاری</t>
        </is>
      </c>
      <c r="C42" s="5" t="inlineStr">
        <is>
          <t>دریافت چک صیادی موعددار بابت تسویه فاکتور فروش</t>
        </is>
      </c>
      <c r="D42" s="5" t="inlineStr">
        <is>
          <t>اسناد دریافتنی تجاری نزد صندوق</t>
        </is>
      </c>
      <c r="E42" s="5" t="inlineStr">
        <is>
          <t>حساب‌های دریافتنی تجاری (مشتری)</t>
        </is>
      </c>
      <c r="F42" s="16" t="n">
        <v>65000000</v>
      </c>
      <c r="G42" s="6" t="inlineStr">
        <is>
          <t>مشتری صادرکننده چک</t>
        </is>
      </c>
      <c r="H42" s="6" t="inlineStr">
        <is>
          <t>سررسید ۱۵ ماه بعد</t>
        </is>
      </c>
      <c r="I42" s="5" t="inlineStr">
        <is>
          <t>ثبت مشخصات شناسه صیاد، شماره چک، تاریخ سررسید و بانک صادرکننده</t>
        </is>
      </c>
      <c r="J42" s="5" t="inlineStr">
        <is>
          <t>قانون جدید صدور چک و سامانه صیاد بانک مرکزی</t>
        </is>
      </c>
    </row>
    <row r="43">
      <c r="A43" s="29" t="inlineStr">
        <is>
          <t>T042</t>
        </is>
      </c>
      <c r="B43" s="12" t="inlineStr">
        <is>
          <t>۵. چک و سفته و اسناد تجاری</t>
        </is>
      </c>
      <c r="C43" s="5" t="inlineStr">
        <is>
          <t>نکول و برگشت چک دریافتنی مشتری در سررسید</t>
        </is>
      </c>
      <c r="D43" s="5" t="inlineStr">
        <is>
          <t>اسناد دریافتنی واخواست‌شده و برگشتی</t>
        </is>
      </c>
      <c r="E43" s="5" t="inlineStr">
        <is>
          <t>اسناد دریافتنی در جریان وصول (بانک)</t>
        </is>
      </c>
      <c r="F43" s="16" t="n">
        <v>65000000</v>
      </c>
      <c r="G43" s="6" t="inlineStr">
        <is>
          <t>صاحب چک برگشتی</t>
        </is>
      </c>
      <c r="H43" s="6" t="inlineStr">
        <is>
          <t>سررسید روز جاری</t>
        </is>
      </c>
      <c r="I43" s="5" t="inlineStr">
        <is>
          <t>خروج از حساب اسناد در جریان وصول و انتقال به مطالبات حقوقی و برگشتی</t>
        </is>
      </c>
      <c r="J43" s="5" t="inlineStr">
        <is>
          <t>قانون تجارت (مواد ۲۴۵ به بعد) و استانداردهای اسناد تجاری</t>
        </is>
      </c>
    </row>
    <row r="44">
      <c r="A44" s="29" t="inlineStr">
        <is>
          <t>T043</t>
        </is>
      </c>
      <c r="B44" s="12" t="inlineStr">
        <is>
          <t>۵. چک و سفته و اسناد تجاری</t>
        </is>
      </c>
      <c r="C44" s="5" t="inlineStr">
        <is>
          <t>پاس شدن چک شرکت به همراه کسر کارمزد بانکی</t>
        </is>
      </c>
      <c r="D44" s="5" t="inlineStr">
        <is>
          <t>اسناد پرداختنی (۵۰ م) + هزینه کارمزد بانکی (۵۰ هـ)</t>
        </is>
      </c>
      <c r="E44" s="5" t="inlineStr">
        <is>
          <t>موجودی حساب جاری بانک</t>
        </is>
      </c>
      <c r="F44" s="16" t="n">
        <v>50050000</v>
      </c>
      <c r="G44" s="6" t="inlineStr">
        <is>
          <t>دارنده چک و بانک عامل</t>
        </is>
      </c>
      <c r="H44" s="6" t="inlineStr">
        <is>
          <t>سررسید روز جاری</t>
        </is>
      </c>
      <c r="I44" s="5" t="inlineStr">
        <is>
          <t>تفکیک بدهی اسناد تجاری از کارمزد تراکنش خدمات بانکی</t>
        </is>
      </c>
      <c r="J44" s="5" t="inlineStr">
        <is>
          <t>استاندارد بدهی‌های مالی و استانداردهای هزینه خدمات بانکی</t>
        </is>
      </c>
    </row>
    <row r="45">
      <c r="A45" s="29" t="inlineStr">
        <is>
          <t>T044</t>
        </is>
      </c>
      <c r="B45" s="12" t="inlineStr">
        <is>
          <t>۵. چک و سفته و اسناد تجاری</t>
        </is>
      </c>
      <c r="C45" s="5" t="inlineStr">
        <is>
          <t>صدور چک تضمین بدون مبلغ و تاریخ به پیمانکار</t>
        </is>
      </c>
      <c r="D45" s="5" t="inlineStr">
        <is>
          <t>حساب‌های انتظامی - چک‌های تضمینی صادره</t>
        </is>
      </c>
      <c r="E45" s="5" t="inlineStr">
        <is>
          <t>طرف حساب‌های انتظامی - تعهدات چک‌های تضمینی</t>
        </is>
      </c>
      <c r="F45" s="16" t="n">
        <v>100000000</v>
      </c>
      <c r="G45" s="6" t="inlineStr">
        <is>
          <t>آهنگر و پیمانکار قرارداد</t>
        </is>
      </c>
      <c r="H45" s="6" t="inlineStr">
        <is>
          <t>نامشخص (تضمینی)</t>
        </is>
      </c>
      <c r="I45" s="5" t="inlineStr">
        <is>
          <t>رد ثبت به عنوان اسناد پرداختنی تجاری و ثبت انحصاری در حساب‌های انتظامی</t>
        </is>
      </c>
      <c r="J45" s="5" t="inlineStr">
        <is>
          <t>استانداردهای بین‌المللی و داخلی تعهدات بالقوه و تضمین‌ها</t>
        </is>
      </c>
    </row>
    <row r="46">
      <c r="A46" s="29" t="inlineStr">
        <is>
          <t>T045</t>
        </is>
      </c>
      <c r="B46" s="12" t="inlineStr">
        <is>
          <t>۵. چک و سفته و اسناد تجاری</t>
        </is>
      </c>
      <c r="C46" s="5" t="inlineStr">
        <is>
          <t>ظهرنویسی و خرج کردن چک مشتری جهت تسویه بدهی</t>
        </is>
      </c>
      <c r="D46" s="5" t="inlineStr">
        <is>
          <t>حساب‌های پرداختنی تجاری (آقای کبیری)</t>
        </is>
      </c>
      <c r="E46" s="5" t="inlineStr">
        <is>
          <t>اسناد دریافتنی تجاری (چک آقای مرادی)</t>
        </is>
      </c>
      <c r="F46" s="16" t="n">
        <v>80000000</v>
      </c>
      <c r="G46" s="6" t="inlineStr">
        <is>
          <t>آقای کبیری (طلبکار) و مرادی (صادرکننده)</t>
        </is>
      </c>
      <c r="H46" s="6" t="inlineStr">
        <is>
          <t>سررسید چک موصوف</t>
        </is>
      </c>
      <c r="I46" s="5" t="inlineStr">
        <is>
          <t>ثبت انتقال تعهد و انتقال ریسک نکول چک به طرفیت شخص ثالث در یادداشت‌ها</t>
        </is>
      </c>
      <c r="J46" s="5" t="inlineStr">
        <is>
          <t>قانون تجارت در خصوص ظهرنویسی و واگذاری برات و چک</t>
        </is>
      </c>
    </row>
    <row r="47">
      <c r="A47" s="29" t="inlineStr">
        <is>
          <t>T046</t>
        </is>
      </c>
      <c r="B47" s="12" t="inlineStr">
        <is>
          <t>۵. چک و سفته و اسناد تجاری</t>
        </is>
      </c>
      <c r="C47" s="5" t="inlineStr">
        <is>
          <t>استرداد سفته تضمین حسن اجرای قرارداد اداره گاز</t>
        </is>
      </c>
      <c r="D47" s="5" t="inlineStr">
        <is>
          <t>طرف حساب انتظامی - تعهدات سفته‌های وثیقه</t>
        </is>
      </c>
      <c r="E47" s="5" t="inlineStr">
        <is>
          <t>حساب‌های انتظامی - سفته‌های ضمانتی نزد دیگران</t>
        </is>
      </c>
      <c r="F47" s="16" t="inlineStr">
        <is>
          <t>نامشخص</t>
        </is>
      </c>
      <c r="G47" s="6" t="inlineStr">
        <is>
          <t>اداره گاز استان</t>
        </is>
      </c>
      <c r="H47" s="6" t="inlineStr">
        <is>
          <t>خاتمه قرارداد</t>
        </is>
      </c>
      <c r="I47" s="5" t="inlineStr">
        <is>
          <t>بستن معکوس ردیف حساب‌های انتظامی پس از اخذ لاشه اسناد سفته</t>
        </is>
      </c>
      <c r="J47" s="5" t="inlineStr">
        <is>
          <t>دستورالعمل تضمین معاملات دولتی و استانداردهای وثایق</t>
        </is>
      </c>
    </row>
    <row r="48">
      <c r="A48" s="29" t="inlineStr">
        <is>
          <t>T047</t>
        </is>
      </c>
      <c r="B48" s="12" t="inlineStr">
        <is>
          <t>۵. چک و سفته و اسناد تجاری</t>
        </is>
      </c>
      <c r="C48" s="5" t="inlineStr">
        <is>
          <t>وصول بخشی از وجه چک و اخذ گواهی عدم پرداخت مانده</t>
        </is>
      </c>
      <c r="D48" s="5" t="inlineStr">
        <is>
          <t>بانک (۴۰ م) + اسناد دریافتنی نکول‌شده (۳۰ م)</t>
        </is>
      </c>
      <c r="E48" s="5" t="inlineStr">
        <is>
          <t>اسناد دریافتنی در جریان وصول (۷۰ م)</t>
        </is>
      </c>
      <c r="F48" s="16" t="n">
        <v>70000000</v>
      </c>
      <c r="G48" s="6" t="inlineStr">
        <is>
          <t>مشتری و صادرکننده چک</t>
        </is>
      </c>
      <c r="H48" s="6" t="inlineStr">
        <is>
          <t>روز جاری</t>
        </is>
      </c>
      <c r="I48" s="5" t="inlineStr">
        <is>
          <t>تفکیک مبلغ نقدی وصولی در بانک از باقیمانده نکول‌شده و ارجاع به پیگیری حقوقی</t>
        </is>
      </c>
      <c r="J48" s="5" t="inlineStr">
        <is>
          <t>ماده ۵ مکرر قانون اصلاح قانون صدور چک</t>
        </is>
      </c>
    </row>
    <row r="49">
      <c r="A49" s="29" t="inlineStr">
        <is>
          <t>T048</t>
        </is>
      </c>
      <c r="B49" s="12" t="inlineStr">
        <is>
          <t>۵. چک و سفته و اسناد تجاری</t>
        </is>
      </c>
      <c r="C49" s="5" t="inlineStr">
        <is>
          <t>تنزیل چک دریافتنی مدت‌دار نزد بازار آزاد/صرافی</t>
        </is>
      </c>
      <c r="D49" s="5" t="inlineStr">
        <is>
          <t>موجودی نقد/بانک (۸۳ م) + هزینه مالی تنزیل (۷ م)</t>
        </is>
      </c>
      <c r="E49" s="5" t="inlineStr">
        <is>
          <t>اسناد دریافتنی تجاری (۹۰ م)</t>
        </is>
      </c>
      <c r="F49" s="16" t="n">
        <v>90000000</v>
      </c>
      <c r="G49" s="6" t="inlineStr">
        <is>
          <t>صراف / خریدار دین چک</t>
        </is>
      </c>
      <c r="H49" s="6" t="inlineStr">
        <is>
          <t>سررسید چک واگذارشده</t>
        </is>
      </c>
      <c r="I49" s="5" t="inlineStr">
        <is>
          <t>تفکیک عایدی خالص نقد از هزینه کارمزد تنزیل با هشدار تعهد احتمالی ضامن</t>
        </is>
      </c>
      <c r="J49" s="5" t="inlineStr">
        <is>
          <t>استاندارد ابزارهای مالی و مقررات ربا و سود تنزیل اسناد تجاری</t>
        </is>
      </c>
    </row>
    <row r="50">
      <c r="A50" s="29" t="inlineStr">
        <is>
          <t>T049</t>
        </is>
      </c>
      <c r="B50" s="12" t="inlineStr">
        <is>
          <t>۵. چک و سفته و اسناد تجاری</t>
        </is>
      </c>
      <c r="C50" s="5" t="inlineStr">
        <is>
          <t>دریافت دسته چک جدید و پرداخت کارمزد صدور بانک</t>
        </is>
      </c>
      <c r="D50" s="5" t="inlineStr">
        <is>
          <t>هزینه خدمات و کارمزد بانکی</t>
        </is>
      </c>
      <c r="E50" s="5" t="inlineStr">
        <is>
          <t>موجودی حساب بانک تجارت</t>
        </is>
      </c>
      <c r="F50" s="16" t="n">
        <v>200000</v>
      </c>
      <c r="G50" s="6" t="inlineStr">
        <is>
          <t>بانک تجارت شعبه مرکزی</t>
        </is>
      </c>
      <c r="H50" s="6" t="inlineStr">
        <is>
          <t>روز جاری</t>
        </is>
      </c>
      <c r="I50" s="5" t="inlineStr">
        <is>
          <t>ثبت هزینه کارمزد در سود و زیان و معرفی شماره سریال چک‌ها در خزانه سیستم</t>
        </is>
      </c>
      <c r="J50" s="5" t="inlineStr">
        <is>
          <t>مقررات بانکداری و قانون چک صیادی</t>
        </is>
      </c>
    </row>
    <row r="51">
      <c r="A51" s="29" t="inlineStr">
        <is>
          <t>T050</t>
        </is>
      </c>
      <c r="B51" s="12" t="inlineStr">
        <is>
          <t>۵. چک و سفته و اسناد تجاری</t>
        </is>
      </c>
      <c r="C51" s="5" t="inlineStr">
        <is>
          <t>واگذاری چک امانی/دست‌لاف به شریک کاری</t>
        </is>
      </c>
      <c r="D51" s="5" t="inlineStr">
        <is>
          <t>اسناد انتظامی - چک‌های نزد امانت شریک</t>
        </is>
      </c>
      <c r="E51" s="5" t="inlineStr">
        <is>
          <t>طرف حساب انتظامی - تعهدات امانی چک</t>
        </is>
      </c>
      <c r="F51" s="16" t="n">
        <v>50000000</v>
      </c>
      <c r="G51" s="6" t="inlineStr">
        <is>
          <t>شریک تجاری (آقای ... )</t>
        </is>
      </c>
      <c r="H51" s="6" t="inlineStr">
        <is>
          <t>کوتاه‌مدت امانی</t>
        </is>
      </c>
      <c r="I51" s="5" t="inlineStr">
        <is>
          <t>طرح سؤال: هدف چک چیست؟ اگر امانی است صرفاً در انتظامی ثبت شود نه تجاری</t>
        </is>
      </c>
      <c r="J51" s="5" t="inlineStr">
        <is>
          <t>قانون مدنی در باب عقد ودیعه و امانت‌داری مالی</t>
        </is>
      </c>
    </row>
    <row r="52">
      <c r="A52" s="29" t="inlineStr">
        <is>
          <t>T051</t>
        </is>
      </c>
      <c r="B52" s="12" t="inlineStr">
        <is>
          <t>۶. وام و تسهیلات بانکی</t>
        </is>
      </c>
      <c r="C52" s="5" t="inlineStr">
        <is>
          <t>واریز اصل تسهیلات بانکی طرح توسعه به حساب شرکت</t>
        </is>
      </c>
      <c r="D52" s="5" t="inlineStr">
        <is>
          <t>موجودی حساب بانک تجارت</t>
        </is>
      </c>
      <c r="E52" s="5" t="inlineStr">
        <is>
          <t>تسهیلات مالی دریافتی بلندمدت بانکی</t>
        </is>
      </c>
      <c r="F52" s="16" t="n">
        <v>500000000</v>
      </c>
      <c r="G52" s="6" t="inlineStr">
        <is>
          <t>بانک تجارت (شعبه تسهیلات‌دهنده)</t>
        </is>
      </c>
      <c r="H52" s="6" t="inlineStr">
        <is>
          <t>بازپرداخت ۳۶ ماهه</t>
        </is>
      </c>
      <c r="I52" s="5" t="inlineStr">
        <is>
          <t>ثبت اصل مبلغ تسهیلات و ایجاد جدول زمان‌بندی اقساط و بهره آتی</t>
        </is>
      </c>
      <c r="J52" s="5" t="inlineStr">
        <is>
          <t>استاندارد حسابداری ۱۶ (هزینه‌های تامین مالی)</t>
        </is>
      </c>
    </row>
    <row r="53">
      <c r="A53" s="29" t="inlineStr">
        <is>
          <t>T052</t>
        </is>
      </c>
      <c r="B53" s="12" t="inlineStr">
        <is>
          <t>۶. وام و تسهیلات بانکی</t>
        </is>
      </c>
      <c r="C53" s="5" t="inlineStr">
        <is>
          <t>پرداخت قسط وام بانکی مرکب از اصل و سود بانکی</t>
        </is>
      </c>
      <c r="D53" s="5" t="inlineStr">
        <is>
          <t>تسهیلات بانکی (۱۷ م) + هزینه مالی بهره وام (۶ م)</t>
        </is>
      </c>
      <c r="E53" s="5" t="inlineStr">
        <is>
          <t>موجودی حساب بانک ملت</t>
        </is>
      </c>
      <c r="F53" s="16" t="n">
        <v>23000000</v>
      </c>
      <c r="G53" s="6" t="inlineStr">
        <is>
          <t>بانک ملت</t>
        </is>
      </c>
      <c r="H53" s="6" t="inlineStr">
        <is>
          <t>سررسید قسط ماهانه</t>
        </is>
      </c>
      <c r="I53" s="5" t="inlineStr">
        <is>
          <t>تفکیک دقیق کاهش اصل بدهی از هزینه مالی دوره جاری طبق جدول استهلاک وام</t>
        </is>
      </c>
      <c r="J53" s="5" t="inlineStr">
        <is>
          <t>استاندارد حسابداری ۱۶ و ماده ۱۴۸ ق.م.م (هزینه‌های بهره بانکی)</t>
        </is>
      </c>
    </row>
    <row r="54">
      <c r="A54" s="29" t="inlineStr">
        <is>
          <t>T053</t>
        </is>
      </c>
      <c r="B54" s="12" t="inlineStr">
        <is>
          <t>۶. وام و تسهیلات بانکی</t>
        </is>
      </c>
      <c r="C54" s="5" t="inlineStr">
        <is>
          <t>مسدودی بخشی از نقدینگی شرکت به عنوان وثیقه وام</t>
        </is>
      </c>
      <c r="D54" s="5" t="inlineStr">
        <is>
          <t>سپرده‌های سرمایه‌گذاری مسدودی نزد بانک‌ها</t>
        </is>
      </c>
      <c r="E54" s="5" t="inlineStr">
        <is>
          <t>موجودی نقد و بانک آزاد سپه</t>
        </is>
      </c>
      <c r="F54" s="16" t="n">
        <v>30000000</v>
      </c>
      <c r="G54" s="6" t="inlineStr">
        <is>
          <t>بانک سپه</t>
        </is>
      </c>
      <c r="H54" s="6" t="inlineStr">
        <is>
          <t>تا پایان تسویه وام</t>
        </is>
      </c>
      <c r="I54" s="5" t="inlineStr">
        <is>
          <t>تفکیک دارایی نقدینگی مقید و مسدودشده از وجوه جاری آزاد شرکت در ترازنامه</t>
        </is>
      </c>
      <c r="J54" s="5" t="inlineStr">
        <is>
          <t>استاندارد ۱ حسابداری (افشای دارایی‌های مقید و تضمین‌ها)</t>
        </is>
      </c>
    </row>
    <row r="55">
      <c r="A55" s="29" t="inlineStr">
        <is>
          <t>T054</t>
        </is>
      </c>
      <c r="B55" s="12" t="inlineStr">
        <is>
          <t>۶. وام و تسهیلات بانکی</t>
        </is>
      </c>
      <c r="C55" s="5" t="inlineStr">
        <is>
          <t>پرداخت علی‌الحساب جریمه و قسط معوق بانکی</t>
        </is>
      </c>
      <c r="D55" s="5" t="inlineStr">
        <is>
          <t>تسهیلات بانکی و هزینه جرایم مالیاتی/بانکی (مشروط)</t>
        </is>
      </c>
      <c r="E55" s="5" t="inlineStr">
        <is>
          <t>موجودی بانک</t>
        </is>
      </c>
      <c r="F55" s="16" t="n">
        <v>40000000</v>
      </c>
      <c r="G55" s="6" t="inlineStr">
        <is>
          <t>بانک عامل وام</t>
        </is>
      </c>
      <c r="H55" s="6" t="inlineStr">
        <is>
          <t>روز جاری</t>
        </is>
      </c>
      <c r="I55" s="5" t="inlineStr">
        <is>
          <t>طرح سؤال جهت اخذ برگه جزییات کسر بانک: تفکیک اصل بدهی از خسارت تاخیر</t>
        </is>
      </c>
      <c r="J55" s="5" t="inlineStr">
        <is>
          <t>قانون عملیات بانکی بدون ربا و استانداردهای هزینه‌های مالی</t>
        </is>
      </c>
    </row>
    <row r="56">
      <c r="A56" s="29" t="inlineStr">
        <is>
          <t>T055</t>
        </is>
      </c>
      <c r="B56" s="12" t="inlineStr">
        <is>
          <t>۶. وام و تسهیلات بانکی</t>
        </is>
      </c>
      <c r="C56" s="5" t="inlineStr">
        <is>
          <t>شناسایی هزینه سود سالانه تسهیلات تعهدی سررسید نشده</t>
        </is>
      </c>
      <c r="D56" s="5" t="inlineStr">
        <is>
          <t>هزینه مالی (سود و بهره تسهیلات)</t>
        </is>
      </c>
      <c r="E56" s="5" t="inlineStr">
        <is>
          <t>سود تحقق‌نیافته تسهیلات مالی بانکی</t>
        </is>
      </c>
      <c r="F56" s="16" t="n">
        <v>48000000</v>
      </c>
      <c r="G56" s="6" t="inlineStr">
        <is>
          <t>بانک طرف قرارداد تسهیلات</t>
        </is>
      </c>
      <c r="H56" s="6" t="inlineStr">
        <is>
          <t>پایان سال مالی</t>
        </is>
      </c>
      <c r="I56" s="5" t="inlineStr">
        <is>
          <t>تخصیص سهم هزینه بهره متناسب با دوره زمانی تعهدی طبق جدول استهلاک بدهی</t>
        </is>
      </c>
      <c r="J56" s="5" t="inlineStr">
        <is>
          <t>مبنای تعهدی و استاندارد حسابداری ۱۶</t>
        </is>
      </c>
    </row>
    <row r="57">
      <c r="A57" s="29" t="inlineStr">
        <is>
          <t>T056</t>
        </is>
      </c>
      <c r="B57" s="12" t="inlineStr">
        <is>
          <t>۶. وام و تسهیلات بانکی</t>
        </is>
      </c>
      <c r="C57" s="5" t="inlineStr">
        <is>
          <t>صدور ضمانت‌نامه بانکی مناقصه به همراه ودیعه نقدی</t>
        </is>
      </c>
      <c r="D57" s="5" t="inlineStr">
        <is>
          <t>سپرده نقدی ضمانت‌نامه (۱۰۰ م) + هزینه کارمزد (۱۵ م)</t>
        </is>
      </c>
      <c r="E57" s="5" t="inlineStr">
        <is>
          <t>موجودی حساب بانک (۱۱۵ م)</t>
        </is>
      </c>
      <c r="F57" s="16" t="n">
        <v>115000000</v>
      </c>
      <c r="G57" s="6" t="inlineStr">
        <is>
          <t>بانک صادرکننده ضمانت‌نامه</t>
        </is>
      </c>
      <c r="H57" s="6" t="inlineStr">
        <is>
          <t>دوره اعتبار مناقصه</t>
        </is>
      </c>
      <c r="I57" s="5" t="inlineStr">
        <is>
          <t>تفکیک کارمزد غیرقابل استرداد از سپرده نقدی مستردشدنی و صدور سند انتظامی ۱ م.ت</t>
        </is>
      </c>
      <c r="J57" s="5" t="inlineStr">
        <is>
          <t>دستورالعمل ضمانت‌نامه‌های بانکی بانک مرکزی</t>
        </is>
      </c>
    </row>
    <row r="58">
      <c r="A58" s="29" t="inlineStr">
        <is>
          <t>T057</t>
        </is>
      </c>
      <c r="B58" s="12" t="inlineStr">
        <is>
          <t>۶. وام و تسهیلات بانکی</t>
        </is>
      </c>
      <c r="C58" s="5" t="inlineStr">
        <is>
          <t>دریافت وام شخصی مدیر و واریز به حساب شرکت جهت نقدینگی</t>
        </is>
      </c>
      <c r="D58" s="5" t="inlineStr">
        <is>
          <t>موجودی حساب بانک شرکت</t>
        </is>
      </c>
      <c r="E58" s="5" t="inlineStr">
        <is>
          <t>جاری شرکا (یا تسهیلات دریافتی از اشخاص ثالث)</t>
        </is>
      </c>
      <c r="F58" s="16" t="inlineStr">
        <is>
          <t>نامشخص</t>
        </is>
      </c>
      <c r="G58" s="6" t="inlineStr">
        <is>
          <t>مدیرعامل / بانک اعطا‌کننده وام به مدیر</t>
        </is>
      </c>
      <c r="H58" s="6" t="inlineStr">
        <is>
          <t>دوره وام</t>
        </is>
      </c>
      <c r="I58" s="5" t="inlineStr">
        <is>
          <t>طرح سؤال: آیا تعهد بازپرداخت متوجه شرکت است یا شخص مدیرعامل؟</t>
        </is>
      </c>
      <c r="J58" s="5" t="inlineStr">
        <is>
          <t>قانون تجارت و استانداردهای تفکیک شخصیت شرکت از سهامدار</t>
        </is>
      </c>
    </row>
    <row r="59">
      <c r="A59" s="29" t="inlineStr">
        <is>
          <t>T058</t>
        </is>
      </c>
      <c r="B59" s="12" t="inlineStr">
        <is>
          <t>۶. وام و تسهیلات بانکی</t>
        </is>
      </c>
      <c r="C59" s="5" t="inlineStr">
        <is>
          <t>تنزیل بدهی فاکتورها از طریق تسهیلات خرید دین بانکی</t>
        </is>
      </c>
      <c r="D59" s="5" t="inlineStr">
        <is>
          <t>بانک (۱۸۲ م) + هزینه مالی تسهیلات خرید دین (۱۸ م)</t>
        </is>
      </c>
      <c r="E59" s="5" t="inlineStr">
        <is>
          <t>تسهیلات بانکی خرید دین پرداختنی (۲۰۰ م)</t>
        </is>
      </c>
      <c r="F59" s="16" t="n">
        <v>200000000</v>
      </c>
      <c r="G59" s="6" t="inlineStr">
        <is>
          <t>بانک پرداخت‌کننده خرید دین</t>
        </is>
      </c>
      <c r="H59" s="6" t="inlineStr">
        <is>
          <t>سررسید فاکتورها</t>
        </is>
      </c>
      <c r="I59" s="5" t="inlineStr">
        <is>
          <t>ثبت بدهی بانکی به ارزش اسمی و تخصیص بهره تسهیلات در دوره مالی تسویه</t>
        </is>
      </c>
      <c r="J59" s="5" t="inlineStr">
        <is>
          <t>دستورالعمل اجرایی عقد خرید دین بانک مرکزی</t>
        </is>
      </c>
    </row>
    <row r="60">
      <c r="A60" s="29" t="inlineStr">
        <is>
          <t>T059</t>
        </is>
      </c>
      <c r="B60" s="12" t="inlineStr">
        <is>
          <t>۶. وام و تسهیلات بانکی</t>
        </is>
      </c>
      <c r="C60" s="5" t="inlineStr">
        <is>
          <t>پرداخت کارمزد تمدید حد اعتباری سالانه شرکت در بانک</t>
        </is>
      </c>
      <c r="D60" s="5" t="inlineStr">
        <is>
          <t>هزینه مالی و کارمزد خدمات اعتباری بانکی</t>
        </is>
      </c>
      <c r="E60" s="5" t="inlineStr">
        <is>
          <t>موجودی حساب بانک ملی</t>
        </is>
      </c>
      <c r="F60" s="16" t="n">
        <v>6500000</v>
      </c>
      <c r="G60" s="6" t="inlineStr">
        <is>
          <t>بانک ملی ایران</t>
        </is>
      </c>
      <c r="H60" s="6" t="inlineStr">
        <is>
          <t>سال مالی جاری</t>
        </is>
      </c>
      <c r="I60" s="5" t="inlineStr">
        <is>
          <t>ثبت در سرفصل هزینه‌های مالی دوره‌ای به عنوان هزینه عملیات تامین مالی</t>
        </is>
      </c>
      <c r="J60" s="5" t="inlineStr">
        <is>
          <t>ماده ۱۴۸ بند ۱۸ قانون مالیات‌های مستقیم</t>
        </is>
      </c>
    </row>
    <row r="61">
      <c r="A61" s="29" t="inlineStr">
        <is>
          <t>T060</t>
        </is>
      </c>
      <c r="B61" s="12" t="inlineStr">
        <is>
          <t>۶. وام و تسهیلات بانکی</t>
        </is>
      </c>
      <c r="C61" s="5" t="inlineStr">
        <is>
          <t>استقراض ربوی از بازار آزاد با سود غیررسمی خارج از شبکه</t>
        </is>
      </c>
      <c r="D61" s="5" t="inlineStr">
        <is>
          <t>نامشخص (عدم امکان تایید هزینه مالی ربا)</t>
        </is>
      </c>
      <c r="E61" s="5" t="inlineStr">
        <is>
          <t>نامشخص</t>
        </is>
      </c>
      <c r="F61" s="16" t="n">
        <v>200000000</v>
      </c>
      <c r="G61" s="6" t="inlineStr">
        <is>
          <t>طلبکار متفرقه بازار آزاد</t>
        </is>
      </c>
      <c r="H61" s="6" t="inlineStr">
        <is>
          <t>ماهانه ۵ درصد</t>
        </is>
      </c>
      <c r="I61" s="5" t="inlineStr">
        <is>
          <t>هشدار قرمز: سود پرداختی بازار آزاد غیرقابل قبول مالیاتی است و اصل تخلف است</t>
        </is>
      </c>
      <c r="J61" s="5" t="inlineStr">
        <is>
          <t>قانون اساسی، فقه اسلامی و ماده ۱۴۸ قانون مالیات‌های مستقیم</t>
        </is>
      </c>
    </row>
    <row r="62">
      <c r="A62" s="29" t="inlineStr">
        <is>
          <t>T061</t>
        </is>
      </c>
      <c r="B62" s="12" t="inlineStr">
        <is>
          <t>۷. حقوق، دستمزد و بیمه</t>
        </is>
      </c>
      <c r="C62" s="5" t="inlineStr">
        <is>
          <t>ثبت سند ماهانه حقوق و تفکیک کسورات قانونی و پرداختی</t>
        </is>
      </c>
      <c r="D62" s="5" t="inlineStr">
        <is>
          <t>هزینه حقوق و دستمزد (۱۸۰ م)</t>
        </is>
      </c>
      <c r="E62" s="5" t="inlineStr">
        <is>
          <t>بیمه پرداختنی (۱۳ م) + مالیات حقوق (۸ م) + بانک (۱۵۹ م)</t>
        </is>
      </c>
      <c r="F62" s="16" t="n">
        <v>180000000</v>
      </c>
      <c r="G62" s="6" t="inlineStr">
        <is>
          <t>پرسنل، سازمان تامین اجتماعی، امور مالیاتی</t>
        </is>
      </c>
      <c r="H62" s="6" t="inlineStr">
        <is>
          <t>اسفند ماه جاری</t>
        </is>
      </c>
      <c r="I62" s="5" t="inlineStr">
        <is>
          <t>تفکیک ناخالص حقوق از کسورات کارگر و شناسایی سهم قابل پرداخت به کارکنان</t>
        </is>
      </c>
      <c r="J62" s="5" t="inlineStr">
        <is>
          <t>قانون کار، قانون تامین اجتماعی و ماده ۸۵ قانون مالیات‌ها</t>
        </is>
      </c>
    </row>
    <row r="63">
      <c r="A63" s="29" t="inlineStr">
        <is>
          <t>T062</t>
        </is>
      </c>
      <c r="B63" s="12" t="inlineStr">
        <is>
          <t>۷. حقوق، دستمزد و بیمه</t>
        </is>
      </c>
      <c r="C63" s="5" t="inlineStr">
        <is>
          <t>پرداخت حق بیمه تامین اجتماعی به شعب سازمان تامین اجتماعی</t>
        </is>
      </c>
      <c r="D63" s="5" t="inlineStr">
        <is>
          <t>بیمه پرداختنی سازمان تامین اجتماعی</t>
        </is>
      </c>
      <c r="E63" s="5" t="inlineStr">
        <is>
          <t>موجودی حساب بانک</t>
        </is>
      </c>
      <c r="F63" s="16" t="n">
        <v>35000000</v>
      </c>
      <c r="G63" s="6" t="inlineStr">
        <is>
          <t>سازمان تامین اجتماعی (شعبه کارگاهی)</t>
        </is>
      </c>
      <c r="H63" s="6" t="inlineStr">
        <is>
          <t>ماه قبل</t>
        </is>
      </c>
      <c r="I63" s="5" t="inlineStr">
        <is>
          <t>تسویه قطعی بدهی بیمه سهم کارگر، کارفرما و بیمه بیکاری</t>
        </is>
      </c>
      <c r="J63" s="5" t="inlineStr">
        <is>
          <t>مواد ۲۸ و ۳۶ قانون تامین اجتماعی جمهوری اسلامی ایران</t>
        </is>
      </c>
    </row>
    <row r="64">
      <c r="A64" s="29" t="inlineStr">
        <is>
          <t>T063</t>
        </is>
      </c>
      <c r="B64" s="12" t="inlineStr">
        <is>
          <t>۷. حقوق، دستمزد و بیمه</t>
        </is>
      </c>
      <c r="C64" s="5" t="inlineStr">
        <is>
          <t>پرداخت مساعده نقدی به پرسنل در اواسط ماه کاری</t>
        </is>
      </c>
      <c r="D64" s="5" t="inlineStr">
        <is>
          <t>مساعده حقوق و دستمزد پرسنل (انباردار)</t>
        </is>
      </c>
      <c r="E64" s="5" t="inlineStr">
        <is>
          <t>موجودی صندوق نقد شرکت</t>
        </is>
      </c>
      <c r="F64" s="16" t="n">
        <v>10000000</v>
      </c>
      <c r="G64" s="6" t="inlineStr">
        <is>
          <t>انباردار شرکت</t>
        </is>
      </c>
      <c r="H64" s="6" t="inlineStr">
        <is>
          <t>روز جاری</t>
        </is>
      </c>
      <c r="I64" s="5" t="inlineStr">
        <is>
          <t>ثبت در سرفصل مطالبات جاری پرسنل و الزام به تهاتر در فیش حقوقی پایان ماه</t>
        </is>
      </c>
      <c r="J64" s="5" t="inlineStr">
        <is>
          <t>قانون کار و استانداردهای دارایی‌های جاری تجاری</t>
        </is>
      </c>
    </row>
    <row r="65">
      <c r="A65" s="29" t="inlineStr">
        <is>
          <t>T064</t>
        </is>
      </c>
      <c r="B65" s="12" t="inlineStr">
        <is>
          <t>۷. حقوق، دستمزد و بیمه</t>
        </is>
      </c>
      <c r="C65" s="5" t="inlineStr">
        <is>
          <t>پرداخت پاداش نقدی دستی خارج از لیست رسمی حقوق</t>
        </is>
      </c>
      <c r="D65" s="5" t="inlineStr">
        <is>
          <t>هزینه پاداش پرسنل (مشروط به بار مالیاتی)</t>
        </is>
      </c>
      <c r="E65" s="5" t="inlineStr">
        <is>
          <t>صندوق نقد / حساب شخصی مدیر</t>
        </is>
      </c>
      <c r="F65" s="16" t="n">
        <v>25000000</v>
      </c>
      <c r="G65" s="6" t="inlineStr">
        <is>
          <t>کارشناسان فروش شرکت</t>
        </is>
      </c>
      <c r="H65" s="6" t="inlineStr">
        <is>
          <t>روز جاری</t>
        </is>
      </c>
      <c r="I65" s="5" t="inlineStr">
        <is>
          <t>طرح سؤال و اخطار: پاداش نقدی مشمول مالیات تکلیفی و بیمه است؛ عدم ثبت جریمه دارد</t>
        </is>
      </c>
      <c r="J65" s="5" t="inlineStr">
        <is>
          <t>ماده ۸۴ و ۹۱ قانون مالیات‌ها و ماده ۲۸ تامین اجتماعی</t>
        </is>
      </c>
    </row>
    <row r="66">
      <c r="A66" s="29" t="inlineStr">
        <is>
          <t>T065</t>
        </is>
      </c>
      <c r="B66" s="12" t="inlineStr">
        <is>
          <t>۷. حقوق، دستمزد و بیمه</t>
        </is>
      </c>
      <c r="C66" s="5" t="inlineStr">
        <is>
          <t>محاسبه و پرداخت عیدی و پاداش سالانه به همراه مالیات تکلیفی</t>
        </is>
      </c>
      <c r="D66" s="5" t="inlineStr">
        <is>
          <t>هزینه عیدی و پاداش سالانه پرسنل (۲۱۰ م)</t>
        </is>
      </c>
      <c r="E66" s="5" t="inlineStr">
        <is>
          <t>مالیات تکلیفی عیدی (۱۵ م) + موجودی بانک (۱۹۵ م)</t>
        </is>
      </c>
      <c r="F66" s="16" t="n">
        <v>210000000</v>
      </c>
      <c r="G66" s="6" t="inlineStr">
        <is>
          <t>کل پرسنل و سازمان امور مالیاتی</t>
        </is>
      </c>
      <c r="H66" s="6" t="inlineStr">
        <is>
          <t>پایان سال مالی</t>
        </is>
      </c>
      <c r="I66" s="5" t="inlineStr">
        <is>
          <t>تفکیک معافیت ماده ۹۱ ق.م.م، کسر مالیات مازاد و پرداخت خالص به کارکنان</t>
        </is>
      </c>
      <c r="J66" s="5" t="inlineStr">
        <is>
          <t>قانون مربوط به تعیین عیدی و پاداش سالانه کارگران شاغل</t>
        </is>
      </c>
    </row>
    <row r="67">
      <c r="A67" s="29" t="inlineStr">
        <is>
          <t>T066</t>
        </is>
      </c>
      <c r="B67" s="12" t="inlineStr">
        <is>
          <t>۷. حقوق، دستمزد و بیمه</t>
        </is>
      </c>
      <c r="C67" s="5" t="inlineStr">
        <is>
          <t>تسویه‌حساب نهایی سنوات و مانده مرخصی کارگر خروجی</t>
        </is>
      </c>
      <c r="D67" s="5" t="inlineStr">
        <is>
          <t>ذخیره مزایای پایان خدمت (۲۴ م) + ذخیره مرخصی (۸ م)</t>
        </is>
      </c>
      <c r="E67" s="5" t="inlineStr">
        <is>
          <t>موجودی حساب بانک (۳۲ م)</t>
        </is>
      </c>
      <c r="F67" s="16" t="n">
        <v>32000000</v>
      </c>
      <c r="G67" s="6" t="inlineStr">
        <is>
          <t>کارگر قطع همکاری شده</t>
        </is>
      </c>
      <c r="H67" s="6" t="inlineStr">
        <is>
          <t>روز جاری</t>
        </is>
      </c>
      <c r="I67" s="5" t="inlineStr">
        <is>
          <t>بستن ذخایر مربوطه یا شناسایی هزینه مستقیم در صورت نبود ذخیره مکفی</t>
        </is>
      </c>
      <c r="J67" s="5" t="inlineStr">
        <is>
          <t>مواد ۲۴ و ۳۱ و ۶۴ قانون کار جمهوری اسلامی ایران</t>
        </is>
      </c>
    </row>
    <row r="68">
      <c r="A68" s="29" t="inlineStr">
        <is>
          <t>T067</t>
        </is>
      </c>
      <c r="B68" s="12" t="inlineStr">
        <is>
          <t>۷. حقوق، دستمزد و بیمه</t>
        </is>
      </c>
      <c r="C68" s="5" t="inlineStr">
        <is>
          <t>اعطای وام قرض‌الحسنه به پرسنل بدون جدول اقساط مدون</t>
        </is>
      </c>
      <c r="D68" s="5" t="inlineStr">
        <is>
          <t>وام و تسهیلات اعطایی به کارکنان (آقای شمس)</t>
        </is>
      </c>
      <c r="E68" s="5" t="inlineStr">
        <is>
          <t>موجودی حساب بانک</t>
        </is>
      </c>
      <c r="F68" s="16" t="n">
        <v>50000000</v>
      </c>
      <c r="G68" s="6" t="inlineStr">
        <is>
          <t>آقای شمس (کارمند شرکت)</t>
        </is>
      </c>
      <c r="H68" s="6" t="inlineStr">
        <is>
          <t>روز جاری</t>
        </is>
      </c>
      <c r="I68" s="5" t="inlineStr">
        <is>
          <t>طرح سؤال: تعداد اقساط و نحوه کسر از حقوق ماهانه چیست؟ صدور فرم تعهدنامه</t>
        </is>
      </c>
      <c r="J68" s="5" t="inlineStr">
        <is>
          <t>آیین‌نامه رفاهی و تسهیلات کارکنان و استانداردهای حسابداری</t>
        </is>
      </c>
    </row>
    <row r="69">
      <c r="A69" s="29" t="inlineStr">
        <is>
          <t>T068</t>
        </is>
      </c>
      <c r="B69" s="12" t="inlineStr">
        <is>
          <t>۷. حقوق، دستمزد و بیمه</t>
        </is>
      </c>
      <c r="C69" s="5" t="inlineStr">
        <is>
          <t>محاسبه و شناسایی ذخیره مزایای پایان خدمت و مرخصی پایان سال</t>
        </is>
      </c>
      <c r="D69" s="5" t="inlineStr">
        <is>
          <t>هزینه مزایای پایان خدمت و مرخصی کارکنان</t>
        </is>
      </c>
      <c r="E69" s="5" t="inlineStr">
        <is>
          <t>ذخیره مزایای پایان خدمت و مرخصی پرداختنی</t>
        </is>
      </c>
      <c r="F69" s="16" t="n">
        <v>90000000</v>
      </c>
      <c r="G69" s="6" t="inlineStr">
        <is>
          <t>کارکنان رسمی و قراردادی شرکت</t>
        </is>
      </c>
      <c r="H69" s="6" t="inlineStr">
        <is>
          <t>پایان دوره مالی</t>
        </is>
      </c>
      <c r="I69" s="5" t="inlineStr">
        <is>
          <t>شناسایی تعهدات انباشته پرسنل طبق استانداردهای تعهدی و آکچوئری مالی</t>
        </is>
      </c>
      <c r="J69" s="5" t="inlineStr">
        <is>
          <t>ماده ۱۴۸ بند ۲ قانون مالیات‌های مستقیم و استاندارد ۳۳</t>
        </is>
      </c>
    </row>
    <row r="70">
      <c r="A70" s="29" t="inlineStr">
        <is>
          <t>T069</t>
        </is>
      </c>
      <c r="B70" s="12" t="inlineStr">
        <is>
          <t>۷. حقوق، دستمزد و بیمه</t>
        </is>
      </c>
      <c r="C70" s="5" t="inlineStr">
        <is>
          <t>پرداخت حق‌المشاوره حقوقی با کسر مالیات تکلیفی ماده ۱۰۴</t>
        </is>
      </c>
      <c r="D70" s="5" t="inlineStr">
        <is>
          <t>هزینه خدمات مشاوره و حقوقی (۳۰ م)</t>
        </is>
      </c>
      <c r="E70" s="5" t="inlineStr">
        <is>
          <t>مالیات تکلیفی تبصره ماده ۸۶ (۳ م) + بانک (۲۷ م)</t>
        </is>
      </c>
      <c r="F70" s="16" t="n">
        <v>30000000</v>
      </c>
      <c r="G70" s="6" t="inlineStr">
        <is>
          <t>دکتر معتمدی (مشاور حقوقی)</t>
        </is>
      </c>
      <c r="H70" s="6" t="inlineStr">
        <is>
          <t>روز جاری</t>
        </is>
      </c>
      <c r="I70" s="5" t="inlineStr">
        <is>
          <t>تفکیک ناخالص قرارداد، کسر مالیات تکلیفی ماده ۸۶ و واریز خالص وجه</t>
        </is>
      </c>
      <c r="J70" s="5" t="inlineStr">
        <is>
          <t>تبصره ۱ ماده ۸۶ قانون مالیات‌های مستقیم</t>
        </is>
      </c>
    </row>
    <row r="71">
      <c r="A71" s="29" t="inlineStr">
        <is>
          <t>T070</t>
        </is>
      </c>
      <c r="B71" s="12" t="inlineStr">
        <is>
          <t>۷. حقوق، دستمزد و بیمه</t>
        </is>
      </c>
      <c r="C71" s="5" t="inlineStr">
        <is>
          <t>دستور پرداخت دستمزد کارگر فاقد هویت رسمی و قرارداد</t>
        </is>
      </c>
      <c r="D71" s="5" t="inlineStr">
        <is>
          <t>نامشخص (عدم امکان تایید هزینه قابل قبول)</t>
        </is>
      </c>
      <c r="E71" s="5" t="inlineStr">
        <is>
          <t>صندوق نقد</t>
        </is>
      </c>
      <c r="F71" s="16" t="n">
        <v>2000000</v>
      </c>
      <c r="G71" s="6" t="inlineStr">
        <is>
          <t>کارگر روزمزد فاقد مدارک</t>
        </is>
      </c>
      <c r="H71" s="6" t="inlineStr">
        <is>
          <t>روز جاری</t>
        </is>
      </c>
      <c r="I71" s="5" t="inlineStr">
        <is>
          <t>رد پذیرش به عنوان هزینه قابل قبول مالیاتی و هشدار الزام به استعلام کد فراگیر اتباع</t>
        </is>
      </c>
      <c r="J71" s="5" t="inlineStr">
        <is>
          <t>ماده ۱۴۷ و ۱۴۸ قانون مالیات‌ها و قانون اتباع خارجی</t>
        </is>
      </c>
    </row>
    <row r="72">
      <c r="A72" s="29" t="inlineStr">
        <is>
          <t>T071</t>
        </is>
      </c>
      <c r="B72" s="12" t="inlineStr">
        <is>
          <t>۸. مالیات و ارزش افزوده</t>
        </is>
      </c>
      <c r="C72" s="5" t="inlineStr">
        <is>
          <t>تهاتر مالیات و عوارض خرید و فروش فصلی و ثبت اظهارنامه</t>
        </is>
      </c>
      <c r="D72" s="5" t="inlineStr">
        <is>
          <t>مالیات و عوارض ارزش افزوده فروش (بدهکار تهاتر)</t>
        </is>
      </c>
      <c r="E72" s="5" t="inlineStr">
        <is>
          <t>ارزش افزوده خرید (اعتبار) + مالیات ارزش افزوده پرداختنی</t>
        </is>
      </c>
      <c r="F72" s="16" t="n">
        <v>27000000</v>
      </c>
      <c r="G72" s="6" t="inlineStr">
        <is>
          <t>سازمان امور مالیاتی کشور</t>
        </is>
      </c>
      <c r="H72" s="6" t="inlineStr">
        <is>
          <t>زمستان دوره جاری</t>
        </is>
      </c>
      <c r="I72" s="5" t="inlineStr">
        <is>
          <t>تهاتر حساب‌های واسط ارزش افزوده و شناسایی بدهی قطعی قابل واریز فصل</t>
        </is>
      </c>
      <c r="J72" s="5" t="inlineStr">
        <is>
          <t>قانون دائمی مالیات بر ارزش افزوده مصوب ۱۴۰۰</t>
        </is>
      </c>
    </row>
    <row r="73">
      <c r="A73" s="29" t="inlineStr">
        <is>
          <t>T072</t>
        </is>
      </c>
      <c r="B73" s="12" t="inlineStr">
        <is>
          <t>۸. مالیات و ارزش افزوده</t>
        </is>
      </c>
      <c r="C73" s="5" t="inlineStr">
        <is>
          <t>پرداخت مالیات عملکرد قطعی شده سال گذشته از بانک</t>
        </is>
      </c>
      <c r="D73" s="5" t="inlineStr">
        <is>
          <t>ذخیره مالیات بر درآمد عملکرد سال قبل</t>
        </is>
      </c>
      <c r="E73" s="5" t="inlineStr">
        <is>
          <t>موجودی حساب بانک ملی</t>
        </is>
      </c>
      <c r="F73" s="16" t="n">
        <v>85000000</v>
      </c>
      <c r="G73" s="6" t="inlineStr">
        <is>
          <t>اداره کل امور مالیاتی مودیان</t>
        </is>
      </c>
      <c r="H73" s="6" t="inlineStr">
        <is>
          <t>دوره مالی گذشته</t>
        </is>
      </c>
      <c r="I73" s="5" t="inlineStr">
        <is>
          <t>تسویه کامل سرفصل ذخیره مالیات عملکرد طبق برگ قطعی ممیزی مالیاتی</t>
        </is>
      </c>
      <c r="J73" s="5" t="inlineStr">
        <is>
          <t>مواد ۱۰۵، ۲۳۸ و ۲۳۹ قانون مالیات‌های مستقیم</t>
        </is>
      </c>
    </row>
    <row r="74">
      <c r="A74" s="29" t="inlineStr">
        <is>
          <t>T073</t>
        </is>
      </c>
      <c r="B74" s="12" t="inlineStr">
        <is>
          <t>۸. مالیات و ارزش افزوده</t>
        </is>
      </c>
      <c r="C74" s="5" t="inlineStr">
        <is>
          <t>پرداخت جرایم مالیاتی عدم تسلیم به موقع اظهارنامه</t>
        </is>
      </c>
      <c r="D74" s="5" t="inlineStr">
        <is>
          <t>سایر هزینه‌های غیرعملیاتی (جرایم مالیاتی غیرقابل قبول)</t>
        </is>
      </c>
      <c r="E74" s="5" t="inlineStr">
        <is>
          <t>موجودی حساب بانک</t>
        </is>
      </c>
      <c r="F74" s="16" t="n">
        <v>20000000</v>
      </c>
      <c r="G74" s="6" t="inlineStr">
        <is>
          <t>سازمان امور مالیاتی کشور</t>
        </is>
      </c>
      <c r="H74" s="6" t="inlineStr">
        <is>
          <t>روز جاری</t>
        </is>
      </c>
      <c r="I74" s="5" t="inlineStr">
        <is>
          <t>منظور نمودن در حساب هزینه‌های غیرقابل قبول جهت اضافه شدن در اظهارنامه عملکرد</t>
        </is>
      </c>
      <c r="J74" s="5" t="inlineStr">
        <is>
          <t>ماده ۱۹۰ و ۱۹۲ قانون مالیات‌های مستقیم و ماده ۱۴۸</t>
        </is>
      </c>
    </row>
    <row r="75">
      <c r="A75" s="29" t="inlineStr">
        <is>
          <t>T074</t>
        </is>
      </c>
      <c r="B75" s="12" t="inlineStr">
        <is>
          <t>۸. مالیات و ارزش افزوده</t>
        </is>
      </c>
      <c r="C75" s="5" t="inlineStr">
        <is>
          <t>خرید دارایی با فاکتور غیررسمی بدون لحاظ ارزش افزوده</t>
        </is>
      </c>
      <c r="D75" s="5" t="inlineStr">
        <is>
          <t>دارایی ثابت مشهود (۱۰۰ م کل پرداختی)</t>
        </is>
      </c>
      <c r="E75" s="5" t="inlineStr">
        <is>
          <t>موجودی بانک / اسناد پرداختنی</t>
        </is>
      </c>
      <c r="F75" s="16" t="n">
        <v>100000000</v>
      </c>
      <c r="G75" s="6" t="inlineStr">
        <is>
          <t>فروشنده غیررسمی کالا/تجهیزات</t>
        </is>
      </c>
      <c r="H75" s="6" t="inlineStr">
        <is>
          <t>روز جاری</t>
        </is>
      </c>
      <c r="I75" s="5" t="inlineStr">
        <is>
          <t>طرح سؤال: آیا فاکتور در سامانه مودیان ثبت شده؟ عدم امکان تهاتر اعتبار مالیاتی</t>
        </is>
      </c>
      <c r="J75" s="5" t="inlineStr">
        <is>
          <t>قانون پایانه‌های فروشگاهی و ماده ۹ قانون ارزش افزوده</t>
        </is>
      </c>
    </row>
    <row r="76">
      <c r="A76" s="29" t="inlineStr">
        <is>
          <t>T075</t>
        </is>
      </c>
      <c r="B76" s="12" t="inlineStr">
        <is>
          <t>۸. مالیات و ارزش افزوده</t>
        </is>
      </c>
      <c r="C76" s="5" t="inlineStr">
        <is>
          <t>کسر و واریز مالیات تکلیفی اجاره املاک اداری شرکت</t>
        </is>
      </c>
      <c r="D76" s="5" t="inlineStr">
        <is>
          <t>مالیات تکلیفی اجاره پرداختنی (ماده ۵۳)</t>
        </is>
      </c>
      <c r="E76" s="5" t="inlineStr">
        <is>
          <t>موجودی حساب بانک</t>
        </is>
      </c>
      <c r="F76" s="16" t="n">
        <v>1200000</v>
      </c>
      <c r="G76" s="6" t="inlineStr">
        <is>
          <t>اداره امور مالیاتی شهرستان</t>
        </is>
      </c>
      <c r="H76" s="6" t="inlineStr">
        <is>
          <t>ماه جاری</t>
        </is>
      </c>
      <c r="I76" s="5" t="inlineStr">
        <is>
          <t>تسویه حساب بدهی مالیات کسر شده از مال‌الاجاره پرداختی به موجر دفتر</t>
        </is>
      </c>
      <c r="J76" s="5" t="inlineStr">
        <is>
          <t>ماده ۵۳ و تبصره ۹ ماده ۵۳ قانون مالیات‌های مستقیم</t>
        </is>
      </c>
    </row>
    <row r="77">
      <c r="A77" s="29" t="inlineStr">
        <is>
          <t>T076</t>
        </is>
      </c>
      <c r="B77" s="12" t="inlineStr">
        <is>
          <t>۸. مالیات و ارزش افزوده</t>
        </is>
      </c>
      <c r="C77" s="5" t="inlineStr">
        <is>
          <t>استرداد اضافه پرداختی ارزش افزوده توسط سازمان مالیاتی</t>
        </is>
      </c>
      <c r="D77" s="5" t="inlineStr">
        <is>
          <t>موجودی حساب بانک شرکت</t>
        </is>
      </c>
      <c r="E77" s="5" t="inlineStr">
        <is>
          <t>سایر حساب‌های دریافتنی (طلب از اداره مالیات)</t>
        </is>
      </c>
      <c r="F77" s="16" t="n">
        <v>10000000</v>
      </c>
      <c r="G77" s="6" t="inlineStr">
        <is>
          <t>سازمان امور مالیاتی کشور</t>
        </is>
      </c>
      <c r="H77" s="6" t="inlineStr">
        <is>
          <t>روز جاری</t>
        </is>
      </c>
      <c r="I77" s="5" t="inlineStr">
        <is>
          <t>ثبت وصول مطالبات دولتی و بستن ردیف اضافه پرداختی ارزش افزوده فصول قبل</t>
        </is>
      </c>
      <c r="J77" s="5" t="inlineStr">
        <is>
          <t>ماده ۸ قانون مالیات بر ارزش افزوده و دستورالعمل استرداد</t>
        </is>
      </c>
    </row>
    <row r="78">
      <c r="A78" s="29" t="inlineStr">
        <is>
          <t>T077</t>
        </is>
      </c>
      <c r="B78" s="12" t="inlineStr">
        <is>
          <t>۸. مالیات و ارزش افزوده</t>
        </is>
      </c>
      <c r="C78" s="5" t="inlineStr">
        <is>
          <t>درخواست غیرقانونی پنهان‌سازی فاکتورهای فروش در سامانه مودیان</t>
        </is>
      </c>
      <c r="D78" s="5" t="inlineStr">
        <is>
          <t>نامشخص (رد قاطع صدور سند جعلی)</t>
        </is>
      </c>
      <c r="E78" s="5" t="inlineStr">
        <is>
          <t>نامشخص</t>
        </is>
      </c>
      <c r="F78" s="16" t="inlineStr">
        <is>
          <t>نامشخص</t>
        </is>
      </c>
      <c r="G78" s="6" t="inlineStr">
        <is>
          <t>خریداران متفرقه خرده‌فروشی</t>
        </is>
      </c>
      <c r="H78" s="6" t="inlineStr">
        <is>
          <t>روز جاری</t>
        </is>
      </c>
      <c r="I78" s="5" t="inlineStr">
        <is>
          <t>رد صریح عدم ارسال و صدور هشدار جریمه ۱۰ درصدی ماده ۲۲ قانون پایانه‌های فروشگاهی</t>
        </is>
      </c>
      <c r="J78" s="5" t="inlineStr">
        <is>
          <t>ماده ۲۲ قانون پایانه‌های فروشگاهی و سامانه مودیان</t>
        </is>
      </c>
    </row>
    <row r="79">
      <c r="A79" s="29" t="inlineStr">
        <is>
          <t>T078</t>
        </is>
      </c>
      <c r="B79" s="12" t="inlineStr">
        <is>
          <t>۸. مالیات و ارزش افزوده</t>
        </is>
      </c>
      <c r="C79" s="5" t="inlineStr">
        <is>
          <t>محاسبه و ثبت ذخیره مالیات بر درآمد عملکرد پایان سال</t>
        </is>
      </c>
      <c r="D79" s="5" t="inlineStr">
        <is>
          <t>هزینه مالیات بر درآمد شرکت (۲۵٪ سود ابرازی)</t>
        </is>
      </c>
      <c r="E79" s="5" t="inlineStr">
        <is>
          <t>ذخیره مالیات بر درآمد عملکرد پرداختنی</t>
        </is>
      </c>
      <c r="F79" s="16" t="n">
        <v>150000000</v>
      </c>
      <c r="G79" s="6" t="inlineStr">
        <is>
          <t>سازمان امور مالیاتی کشور</t>
        </is>
      </c>
      <c r="H79" s="6" t="inlineStr">
        <is>
          <t>پایان سال مالی</t>
        </is>
      </c>
      <c r="I79" s="5" t="inlineStr">
        <is>
          <t>محاسبه بر مبنای نرخ مصوب ۲۵ درصدی اشخاص حقوقی در صورت سود و زیان</t>
        </is>
      </c>
      <c r="J79" s="5" t="inlineStr">
        <is>
          <t>ماده ۱۰۵ قانون مالیات‌های مستقیم و استاندارد ۲۲ حسابداری</t>
        </is>
      </c>
    </row>
    <row r="80">
      <c r="A80" s="29" t="inlineStr">
        <is>
          <t>T079</t>
        </is>
      </c>
      <c r="B80" s="12" t="inlineStr">
        <is>
          <t>۸. مالیات و ارزش افزوده</t>
        </is>
      </c>
      <c r="C80" s="5" t="inlineStr">
        <is>
          <t>پرداخت نقدی عوارض آلایندگی و پسماند کارگاهی شهرداری</t>
        </is>
      </c>
      <c r="D80" s="5" t="inlineStr">
        <is>
          <t>هزینه‌های عوارض دولتی، شهرداری و پسماند</t>
        </is>
      </c>
      <c r="E80" s="5" t="inlineStr">
        <is>
          <t>موجودی حساب بانک کارخانه</t>
        </is>
      </c>
      <c r="F80" s="16" t="n">
        <v>4600000</v>
      </c>
      <c r="G80" s="6" t="inlineStr">
        <is>
          <t>شهرداری منطقه صنعتی</t>
        </is>
      </c>
      <c r="H80" s="6" t="inlineStr">
        <is>
          <t>روز جاری</t>
        </is>
      </c>
      <c r="I80" s="5" t="inlineStr">
        <is>
          <t>ثبت در هزینه‌های اداری و توزیع در صورت سود و زیان جاری شرکت</t>
        </is>
      </c>
      <c r="J80" s="5" t="inlineStr">
        <is>
          <t>ماده ۱۴۸ قانون مالیات‌ها و قانون درآمد پایدار شهرداری‌ها</t>
        </is>
      </c>
    </row>
    <row r="81">
      <c r="A81" s="29" t="inlineStr">
        <is>
          <t>T080</t>
        </is>
      </c>
      <c r="B81" s="12" t="inlineStr">
        <is>
          <t>۸. مالیات و ارزش افزوده</t>
        </is>
      </c>
      <c r="C81" s="5" t="inlineStr">
        <is>
          <t>مطالبه مابه‌التفاوت ماده ۱۶۹ مکرر گزارشات فصلی بدون مستندات</t>
        </is>
      </c>
      <c r="D81" s="5" t="inlineStr">
        <is>
          <t>حساب‌های انتظامی یا ذخیره تعهدات مالیاتی (مشروط)</t>
        </is>
      </c>
      <c r="E81" s="5" t="inlineStr">
        <is>
          <t>طرف حساب انتظامی / بدهی احتمالی</t>
        </is>
      </c>
      <c r="F81" s="16" t="n">
        <v>40000000</v>
      </c>
      <c r="G81" s="6" t="inlineStr">
        <is>
          <t>سازمان امور مالیاتی / مودیان فصلی</t>
        </is>
      </c>
      <c r="H81" s="6" t="inlineStr">
        <is>
          <t>دوره مالیاتی گذشته</t>
        </is>
      </c>
      <c r="I81" s="5" t="inlineStr">
        <is>
          <t>طرح سؤال: کد اقتصادی و فاکتور مغایرت کجاست؟ لزوم تطبیق گزارشات فصلی قبل از پرداخت</t>
        </is>
      </c>
      <c r="J81" s="5" t="inlineStr">
        <is>
          <t>ماده ۱۶۹ مکرر قانون مالیات‌های مستقیم</t>
        </is>
      </c>
    </row>
    <row r="82">
      <c r="A82" s="29" t="inlineStr">
        <is>
          <t>T081</t>
        </is>
      </c>
      <c r="B82" s="12" t="inlineStr">
        <is>
          <t>۹. حقوق صاحبان سهام و جاری شرکا</t>
        </is>
      </c>
      <c r="C82" s="5" t="inlineStr">
        <is>
          <t>افزایش سرمایه نقدی شرکت ثبت‌شده در روزنامه رسمی</t>
        </is>
      </c>
      <c r="D82" s="5" t="inlineStr">
        <is>
          <t>موجودی حساب ویژه افزایش سرمایه بانک</t>
        </is>
      </c>
      <c r="E82" s="5" t="inlineStr">
        <is>
          <t>سرمایه پرداخت‌شده و ثبت‌شده شرکت</t>
        </is>
      </c>
      <c r="F82" s="16" t="n">
        <v>500000000</v>
      </c>
      <c r="G82" s="6" t="inlineStr">
        <is>
          <t>سهامداران و شرکای رسمی شرکت</t>
        </is>
      </c>
      <c r="H82" s="6" t="inlineStr">
        <is>
          <t>روز جاری ثبتی</t>
        </is>
      </c>
      <c r="I82" s="5" t="inlineStr">
        <is>
          <t>افزایش سرفصل سرمایه اسمی پس از درج آگهی تغییرات در روزنامه رسمی کشور</t>
        </is>
      </c>
      <c r="J82" s="5" t="inlineStr">
        <is>
          <t>مواد ۱۵۷ تا ۱۶۳ لایحه اصلاحی قانون تجارت</t>
        </is>
      </c>
    </row>
    <row r="83">
      <c r="A83" s="29" t="inlineStr">
        <is>
          <t>T082</t>
        </is>
      </c>
      <c r="B83" s="12" t="inlineStr">
        <is>
          <t>۹. حقوق صاحبان سهام و جاری شرکا</t>
        </is>
      </c>
      <c r="C83" s="5" t="inlineStr">
        <is>
          <t>تزریق نقدینگی به حساب شرکت توسط سهامدار عمده</t>
        </is>
      </c>
      <c r="D83" s="5" t="inlineStr">
        <is>
          <t>موجودی حساب جاری بانک شرکت</t>
        </is>
      </c>
      <c r="E83" s="5" t="inlineStr">
        <is>
          <t>جاری شرکا و سهامداران (آقای یوسفی)</t>
        </is>
      </c>
      <c r="F83" s="16" t="n">
        <v>50000000</v>
      </c>
      <c r="G83" s="6" t="inlineStr">
        <is>
          <t>آقای یوسفی (سهامدار)</t>
        </is>
      </c>
      <c r="H83" s="6" t="inlineStr">
        <is>
          <t>روز جاری</t>
        </is>
      </c>
      <c r="I83" s="5" t="inlineStr">
        <is>
          <t>ثبت بدهی شرکت به سهامدار و افزایش مانده بستانکاری شخص سهامدار</t>
        </is>
      </c>
      <c r="J83" s="5" t="inlineStr">
        <is>
          <t>قانون تجارت و استانداردهای حسابداری اشخاص وابسته</t>
        </is>
      </c>
    </row>
    <row r="84">
      <c r="A84" s="29" t="inlineStr">
        <is>
          <t>T083</t>
        </is>
      </c>
      <c r="B84" s="12" t="inlineStr">
        <is>
          <t>۹. حقوق صاحبان سهام و جاری شرکا</t>
        </is>
      </c>
      <c r="C84" s="5" t="inlineStr">
        <is>
          <t>برداشت شخصی وجه نقد توسط سهامدار جهت مصارف غیرشرکتی</t>
        </is>
      </c>
      <c r="D84" s="5" t="inlineStr">
        <is>
          <t>جاری شرکا و سهامداران (خانم دکتر افشار)</t>
        </is>
      </c>
      <c r="E84" s="5" t="inlineStr">
        <is>
          <t>موجودی حساب جاری بانک شرکت</t>
        </is>
      </c>
      <c r="F84" s="16" t="n">
        <v>70000000</v>
      </c>
      <c r="G84" s="6" t="inlineStr">
        <is>
          <t>خانم دکتر افشار (سهامدار)</t>
        </is>
      </c>
      <c r="H84" s="6" t="inlineStr">
        <is>
          <t>روز جاری</t>
        </is>
      </c>
      <c r="I84" s="5" t="inlineStr">
        <is>
          <t>بدهکار کردن مستقیم حساب سهامدار با تذکر عدم ثبت در هزینه‌های اداری و شخصی</t>
        </is>
      </c>
      <c r="J84" s="5" t="inlineStr">
        <is>
          <t>ماده ۱۲۹ و ۱۳۲ لایحه اصلاحی قانون تجارت</t>
        </is>
      </c>
    </row>
    <row r="85">
      <c r="A85" s="29" t="inlineStr">
        <is>
          <t>T084</t>
        </is>
      </c>
      <c r="B85" s="12" t="inlineStr">
        <is>
          <t>۹. حقوق صاحبان سهام و جاری شرکا</t>
        </is>
      </c>
      <c r="C85" s="5" t="inlineStr">
        <is>
          <t>تصویب سود تقسیمی در مجمع بدون نقدینگی فوری جهت پرداخت</t>
        </is>
      </c>
      <c r="D85" s="5" t="inlineStr">
        <is>
          <t>سود انباشته (تقسیم سود مجمع عمومی)</t>
        </is>
      </c>
      <c r="E85" s="5" t="inlineStr">
        <is>
          <t>سود سهام مصوب پرداختنی به سهامداران</t>
        </is>
      </c>
      <c r="F85" s="16" t="n">
        <v>100000000</v>
      </c>
      <c r="G85" s="6" t="inlineStr">
        <is>
          <t>کلیه سهامداران دارای حق رای</t>
        </is>
      </c>
      <c r="H85" s="6" t="inlineStr">
        <is>
          <t>طبق مهلت قانون تجارت (۴ یا ۸ ماه)</t>
        </is>
      </c>
      <c r="I85" s="5" t="inlineStr">
        <is>
          <t>شناسایی تعهد پرداخت سود به سهامداران و کسر از مانده سود انباشته ترازنامه</t>
        </is>
      </c>
      <c r="J85" s="5" t="inlineStr">
        <is>
          <t>ماده ۲۴۰ لایحه اصلاحی قانون تجارت و استانداردها</t>
        </is>
      </c>
    </row>
    <row r="86">
      <c r="A86" s="29" t="inlineStr">
        <is>
          <t>T085</t>
        </is>
      </c>
      <c r="B86" s="12" t="inlineStr">
        <is>
          <t>۹. حقوق صاحبان سهام و جاری شرکا</t>
        </is>
      </c>
      <c r="C86" s="5" t="inlineStr">
        <is>
          <t>تخصیص ۵ درصد سود سالانه به اندوخته قانونی الزامی</t>
        </is>
      </c>
      <c r="D86" s="5" t="inlineStr">
        <is>
          <t>سود انباشته شرکت</t>
        </is>
      </c>
      <c r="E86" s="5" t="inlineStr">
        <is>
          <t>اندوخته قانونی سهامداران</t>
        </is>
      </c>
      <c r="F86" s="16" t="n">
        <v>20000000</v>
      </c>
      <c r="G86" s="6" t="inlineStr">
        <is>
          <t>حقوق صاحبان سهام شرکت</t>
        </is>
      </c>
      <c r="H86" s="6" t="inlineStr">
        <is>
          <t>پایان سال مالی</t>
        </is>
      </c>
      <c r="I86" s="5" t="inlineStr">
        <is>
          <t>انتقال سهم الزامی سود سالانه تا سقف ۱۰ درصد کل سرمایه ثبت‌شده شرکت</t>
        </is>
      </c>
      <c r="J86" s="5" t="inlineStr">
        <is>
          <t>مواد ۱۴۰ و ۲۳۸ لایحه اصلاحی قانون تجارت</t>
        </is>
      </c>
    </row>
    <row r="87">
      <c r="A87" s="29" t="inlineStr">
        <is>
          <t>T086</t>
        </is>
      </c>
      <c r="B87" s="12" t="inlineStr">
        <is>
          <t>۹. حقوق صاحبان سهام و جاری شرکا</t>
        </is>
      </c>
      <c r="C87" s="5" t="inlineStr">
        <is>
          <t>تسویه سهم‌الشرکه شریک خروجی با نقد و چک مدت‌دار</t>
        </is>
      </c>
      <c r="D87" s="5" t="inlineStr">
        <is>
          <t>سرمایه / سهم‌الشرکه شریک مستعفی (۱۲۰ م)</t>
        </is>
      </c>
      <c r="E87" s="5" t="inlineStr">
        <is>
          <t>بانک (۶۰ م) + اسناد پرداختنی تجاری (۶۰ م)</t>
        </is>
      </c>
      <c r="F87" s="16" t="n">
        <v>120000000</v>
      </c>
      <c r="G87" s="6" t="inlineStr">
        <is>
          <t>شریک مستعفی (شخص ثالث جدید)</t>
        </is>
      </c>
      <c r="H87" s="6" t="inlineStr">
        <is>
          <t>سررسید چک ۶ ماه بعد</t>
        </is>
      </c>
      <c r="I87" s="5" t="inlineStr">
        <is>
          <t>کاهش سرمایه ثبت‌شده با اصلاحات اساسنامه و ثبت بدهی اسنادی شرکت</t>
        </is>
      </c>
      <c r="J87" s="5" t="inlineStr">
        <is>
          <t>قانون تجارت در باب شرکت‌های با مسئولیت محدود و تضامنی</t>
        </is>
      </c>
    </row>
    <row r="88">
      <c r="A88" s="29" t="inlineStr">
        <is>
          <t>T087</t>
        </is>
      </c>
      <c r="B88" s="12" t="inlineStr">
        <is>
          <t>۹. حقوق صاحبان سهام و جاری شرکا</t>
        </is>
      </c>
      <c r="C88" s="5" t="inlineStr">
        <is>
          <t>واگذاری خودروی شخصی توسط سهامدار به ناوگان شرکت</t>
        </is>
      </c>
      <c r="D88" s="5" t="inlineStr">
        <is>
          <t>دارایی ثابت وسایط نقلیه (یا هزینه اجاره)</t>
        </is>
      </c>
      <c r="E88" s="5" t="inlineStr">
        <is>
          <t>سرمایه غیرنقدی یا حساب جاری شرکا</t>
        </is>
      </c>
      <c r="F88" s="16" t="inlineStr">
        <is>
          <t>نامشخص</t>
        </is>
      </c>
      <c r="G88" s="6" t="inlineStr">
        <is>
          <t>آقای احمدی (سهامدار خودرو)</t>
        </is>
      </c>
      <c r="H88" s="6" t="inlineStr">
        <is>
          <t>دوره جاری</t>
        </is>
      </c>
      <c r="I88" s="5" t="inlineStr">
        <is>
          <t>طرح سؤال تفکیک: قرارداد اجاره خودرو است یا انتقال مالکیت و آورده غیرنقدی سرمایه؟</t>
        </is>
      </c>
      <c r="J88" s="5" t="inlineStr">
        <is>
          <t>قانون تجارت و استانداردهای ارزش‌گذاری آورده‌های غیرنقد</t>
        </is>
      </c>
    </row>
    <row r="89">
      <c r="A89" s="29" t="inlineStr">
        <is>
          <t>T088</t>
        </is>
      </c>
      <c r="B89" s="12" t="inlineStr">
        <is>
          <t>۹. حقوق صاحبان سهام و جاری شرکا</t>
        </is>
      </c>
      <c r="C89" s="5" t="inlineStr">
        <is>
          <t>بستن حساب خلاصه سود و زیان و شناسایی زیان انباشته دوره</t>
        </is>
      </c>
      <c r="D89" s="5" t="inlineStr">
        <is>
          <t>سود (زیان) انباشته شرکت</t>
        </is>
      </c>
      <c r="E89" s="5" t="inlineStr">
        <is>
          <t>حساب خلاصه سود و زیان دوره مالی</t>
        </is>
      </c>
      <c r="F89" s="16" t="n">
        <v>150000000</v>
      </c>
      <c r="G89" s="6" t="inlineStr">
        <is>
          <t>حقوق صاحبان سهام شرکت</t>
        </is>
      </c>
      <c r="H89" s="6" t="inlineStr">
        <is>
          <t>پایان دوره مالی</t>
        </is>
      </c>
      <c r="I89" s="5" t="inlineStr">
        <is>
          <t>انتقال مانده زیانده به سرفصل زیان انباشته با هشدار ماده ۱۴۱ قانون تجارت</t>
        </is>
      </c>
      <c r="J89" s="5" t="inlineStr">
        <is>
          <t>ماده ۱۴۱ لایحه اصلاحی قانون تجارت و استاندارد ۱</t>
        </is>
      </c>
    </row>
    <row r="90">
      <c r="A90" s="29" t="inlineStr">
        <is>
          <t>T089</t>
        </is>
      </c>
      <c r="B90" s="12" t="inlineStr">
        <is>
          <t>۹. حقوق صاحبان سهام و جاری شرکا</t>
        </is>
      </c>
      <c r="C90" s="5" t="inlineStr">
        <is>
          <t>تبدیل مطالبات حال‌شده سهامداران به افزایش سرمایه رسمی</t>
        </is>
      </c>
      <c r="D90" s="5" t="inlineStr">
        <is>
          <t>جاری شرکا و سهامداران (بستانکاران شرکت)</t>
        </is>
      </c>
      <c r="E90" s="5" t="inlineStr">
        <is>
          <t>سرمایه ثبت‌شده و پرداخت‌شده شرکت</t>
        </is>
      </c>
      <c r="F90" s="16" t="n">
        <v>200000000</v>
      </c>
      <c r="G90" s="6" t="inlineStr">
        <is>
          <t>سهامداران دارای مطالبات حال‌شده</t>
        </is>
      </c>
      <c r="H90" s="6" t="inlineStr">
        <is>
          <t>مجمع عمومی فوق‌العاده</t>
        </is>
      </c>
      <c r="I90" s="5" t="inlineStr">
        <is>
          <t>بستن مطالبات جاری سهامداران و صدور برگه سهام جدید پس از ثبت در اداره ثبت شرکت‌ها</t>
        </is>
      </c>
      <c r="J90" s="5" t="inlineStr">
        <is>
          <t>ماده ۱۵۸ لایحه اصلاحی قانون تجارت</t>
        </is>
      </c>
    </row>
    <row r="91">
      <c r="A91" s="29" t="inlineStr">
        <is>
          <t>T090</t>
        </is>
      </c>
      <c r="B91" s="12" t="inlineStr">
        <is>
          <t>۹. حقوق صاحبان سهام و جاری شرکا</t>
        </is>
      </c>
      <c r="C91" s="5" t="inlineStr">
        <is>
          <t>برداشت غیررسمی سهامدار از سود سنواتی بدون تصویب مجمع</t>
        </is>
      </c>
      <c r="D91" s="5" t="inlineStr">
        <is>
          <t>جاری شرکا و سهامداران (بدهکار)</t>
        </is>
      </c>
      <c r="E91" s="5" t="inlineStr">
        <is>
          <t>صندوق نقد / بانک شرکت</t>
        </is>
      </c>
      <c r="F91" s="16" t="n">
        <v>10000000</v>
      </c>
      <c r="G91" s="6" t="inlineStr">
        <is>
          <t>سهامدار متقاضی برداشت</t>
        </is>
      </c>
      <c r="H91" s="6" t="inlineStr">
        <is>
          <t>دوره مالی قبل</t>
        </is>
      </c>
      <c r="I91" s="5" t="inlineStr">
        <is>
          <t>رد شناسایی تقسیم سود بدون صورتجلسه مجمع؛ ثبت بدهکاری مستقیم جاری شریک</t>
        </is>
      </c>
      <c r="J91" s="5" t="inlineStr">
        <is>
          <t>ماده ۲۴۰ لایحه اصلاحی قانون تجارت و مسئولیت کیفری سود موهوم</t>
        </is>
      </c>
    </row>
    <row r="92">
      <c r="A92" s="29" t="inlineStr">
        <is>
          <t>T091</t>
        </is>
      </c>
      <c r="B92" s="12" t="inlineStr">
        <is>
          <t>۱۰. تهاتر، تسویه و مطالبات غیرنقد</t>
        </is>
      </c>
      <c r="C92" s="5" t="inlineStr">
        <is>
          <t>تهاتر پایاپای کالا با کالا بدون انتقال وجه نقد</t>
        </is>
      </c>
      <c r="D92" s="5" t="inlineStr">
        <is>
          <t>موجودی مواد اولیه (ورق آهن ۶۰ م) + حساب‌های دریافتنی (۶۰ م)</t>
        </is>
      </c>
      <c r="E92" s="5" t="inlineStr">
        <is>
          <t>درآمد فروش کالا (۶۰ م) + حساب‌های پرداختنی (۶۰ م)</t>
        </is>
      </c>
      <c r="F92" s="16" t="n">
        <v>60000000</v>
      </c>
      <c r="G92" s="6" t="inlineStr">
        <is>
          <t>شرکت فولادسازان</t>
        </is>
      </c>
      <c r="H92" s="6" t="inlineStr">
        <is>
          <t>روز جاری</t>
        </is>
      </c>
      <c r="I92" s="5" t="inlineStr">
        <is>
          <t>ثبت همزمان خرید و فروش رسمی در سامانه مودیان و تهاتر حساب‌های فی‌مابین</t>
        </is>
      </c>
      <c r="J92" s="5" t="inlineStr">
        <is>
          <t>استاندارد حسابداری ۳ (معاملات معاوضه‌ای) و قانون پایانه‌ها</t>
        </is>
      </c>
    </row>
    <row r="93">
      <c r="A93" s="29" t="inlineStr">
        <is>
          <t>T092</t>
        </is>
      </c>
      <c r="B93" s="12" t="inlineStr">
        <is>
          <t>۱۰. تهاتر، تسویه و مطالبات غیرنقد</t>
        </is>
      </c>
      <c r="C93" s="5" t="inlineStr">
        <is>
          <t>تسویه مطالبات از مشتری با دریافت خودرو و پرداخت سرانه نقد</t>
        </is>
      </c>
      <c r="D93" s="5" t="inlineStr">
        <is>
          <t>دارایی ثابت وسایط نقلیه (وانت پراید ۱۰۰ م)</t>
        </is>
      </c>
      <c r="E93" s="5" t="inlineStr">
        <is>
          <t>حساب دریافتنی (۸۰ م) + بانک شرکت (۲۰ م)</t>
        </is>
      </c>
      <c r="F93" s="16" t="n">
        <v>100000000</v>
      </c>
      <c r="G93" s="6" t="inlineStr">
        <is>
          <t>آقای سلطانی (مشتری)</t>
        </is>
      </c>
      <c r="H93" s="6" t="inlineStr">
        <is>
          <t>روز جاری</t>
        </is>
      </c>
      <c r="I93" s="5" t="inlineStr">
        <is>
          <t>ثبت ورود دارایی نقلیه، بستن طلب بدهکار تجاری و پرداخت مابه‌التفاوت از بانک</t>
        </is>
      </c>
      <c r="J93" s="5" t="inlineStr">
        <is>
          <t>استاندارد حسابداری ۱۱ و استانداردهای تسویه غیرنقدی مطالبات</t>
        </is>
      </c>
    </row>
    <row r="94">
      <c r="A94" s="29" t="inlineStr">
        <is>
          <t>T093</t>
        </is>
      </c>
      <c r="B94" s="12" t="inlineStr">
        <is>
          <t>۱۰. تهاتر، تسویه و مطالبات غیرنقد</t>
        </is>
      </c>
      <c r="C94" s="5" t="inlineStr">
        <is>
          <t>تهاتر طلب با بدهی به همراه تخفیف بخشیده شده بستانکار</t>
        </is>
      </c>
      <c r="D94" s="5" t="inlineStr">
        <is>
          <t>حساب‌های پرداختنی تجاری (۵۰ م)</t>
        </is>
      </c>
      <c r="E94" s="5" t="inlineStr">
        <is>
          <t>حساب‌های دریافتنی تجاری (۴۵ م) + سایر درآمدها (۵ م)</t>
        </is>
      </c>
      <c r="F94" s="16" t="n">
        <v>50000000</v>
      </c>
      <c r="G94" s="6" t="inlineStr">
        <is>
          <t>تامین‌کننده و مشتری تجاری</t>
        </is>
      </c>
      <c r="H94" s="6" t="inlineStr">
        <is>
          <t>روز جاری</t>
        </is>
      </c>
      <c r="I94" s="5" t="inlineStr">
        <is>
          <t>تهاتر دو حساب با حواله کردن مطالبات و شناسایی درآمد تخفیف تسویه</t>
        </is>
      </c>
      <c r="J94" s="5" t="inlineStr">
        <is>
          <t>قانون مدنی در باب عقد حواله و تهاتر بدهی‌ها</t>
        </is>
      </c>
    </row>
    <row r="95">
      <c r="A95" s="29" t="inlineStr">
        <is>
          <t>T094</t>
        </is>
      </c>
      <c r="B95" s="12" t="inlineStr">
        <is>
          <t>۱۰. تهاتر، تسویه و مطالبات غیرنقد</t>
        </is>
      </c>
      <c r="C95" s="5" t="inlineStr">
        <is>
          <t>توافق تسویه بدهی با ضایعات بدون وزن‌کشی و نرخ‌گذاری قطعی</t>
        </is>
      </c>
      <c r="D95" s="5" t="inlineStr">
        <is>
          <t>حساب‌های پرداختنی یا ضایعات امانی (مشروط)</t>
        </is>
      </c>
      <c r="E95" s="5" t="inlineStr">
        <is>
          <t>موجودی ضایعات انبار</t>
        </is>
      </c>
      <c r="F95" s="16" t="n">
        <v>30000000</v>
      </c>
      <c r="G95" s="6" t="inlineStr">
        <is>
          <t>پیمانکار خدمات کارخانه</t>
        </is>
      </c>
      <c r="H95" s="6" t="inlineStr">
        <is>
          <t>موقت تا باسکول</t>
        </is>
      </c>
      <c r="I95" s="5" t="inlineStr">
        <is>
          <t>طرح سؤال: وزن دقیق در قبض باسکول چیست؟ فاکتور ضایعات صادر شده یا نه؟</t>
        </is>
      </c>
      <c r="J95" s="5" t="inlineStr">
        <is>
          <t>آیین‌نامه انبارداری و اصول اندازه‌گیری عینی معاملات</t>
        </is>
      </c>
    </row>
    <row r="96">
      <c r="A96" s="29" t="inlineStr">
        <is>
          <t>T095</t>
        </is>
      </c>
      <c r="B96" s="12" t="inlineStr">
        <is>
          <t>۱۰. تهاتر، تسویه و مطالبات غیرنقد</t>
        </is>
      </c>
      <c r="C96" s="5" t="inlineStr">
        <is>
          <t>تسویه بدهی اجاره از طریق تحویل محصولات تجاری شرکت</t>
        </is>
      </c>
      <c r="D96" s="5" t="inlineStr">
        <is>
          <t>حساب‌های پرداختنی هزینه اجاره (۵۰ م)</t>
        </is>
      </c>
      <c r="E96" s="5" t="inlineStr">
        <is>
          <t>درآمد فروش محصولات تجاری (۵۰ م)</t>
        </is>
      </c>
      <c r="F96" s="16" t="n">
        <v>50000000</v>
      </c>
      <c r="G96" s="6" t="inlineStr">
        <is>
          <t>موجر دفتر ساختمان مرکزی</t>
        </is>
      </c>
      <c r="H96" s="6" t="inlineStr">
        <is>
          <t>دوره جاری</t>
        </is>
      </c>
      <c r="I96" s="5" t="inlineStr">
        <is>
          <t>صدور فاکتور فروش قانونی و تسویه بدهی معوق اجاره بدون تراکنش بانکی</t>
        </is>
      </c>
      <c r="J96" s="5" t="inlineStr">
        <is>
          <t>قانون پایانه‌های فروشگاهی و استانداردهای تهاتر تعهدات</t>
        </is>
      </c>
    </row>
    <row r="97">
      <c r="A97" s="29" t="inlineStr">
        <is>
          <t>T096</t>
        </is>
      </c>
      <c r="B97" s="12" t="inlineStr">
        <is>
          <t>۱۰. تهاتر، تسویه و مطالبات غیرنقد</t>
        </is>
      </c>
      <c r="C97" s="5" t="inlineStr">
        <is>
          <t>تهاتر سه‌جانبه زنجیره‌ای بدهی‌ها و مطالبات اشخاص</t>
        </is>
      </c>
      <c r="D97" s="5" t="inlineStr">
        <is>
          <t>حساب‌های پرداختنی تجاری (آقای حسینی ۴۰ م)</t>
        </is>
      </c>
      <c r="E97" s="5" t="inlineStr">
        <is>
          <t>حساب‌های دریافتنی تجاری (آقای کریمی ۴۰ م)</t>
        </is>
      </c>
      <c r="F97" s="16" t="n">
        <v>40000000</v>
      </c>
      <c r="G97" s="6" t="inlineStr">
        <is>
          <t>آقای حسینی، آقای کریمی، شرکت</t>
        </is>
      </c>
      <c r="H97" s="6" t="inlineStr">
        <is>
          <t>روز جاری</t>
        </is>
      </c>
      <c r="I97" s="5" t="inlineStr">
        <is>
          <t>اخذ صورت‌جلسه کتبی توافق صلح سه‌جانبه و بستن همزمان بستانکار و بدهکار شرکت</t>
        </is>
      </c>
      <c r="J97" s="5" t="inlineStr">
        <is>
          <t>مواد ۲۹۴ تا ۲۹۹ قانون مدنی (تهاتر قهری و قراردادی)</t>
        </is>
      </c>
    </row>
    <row r="98">
      <c r="A98" s="29" t="inlineStr">
        <is>
          <t>T097</t>
        </is>
      </c>
      <c r="B98" s="12" t="inlineStr">
        <is>
          <t>۱۰. تهاتر، تسویه و مطالبات غیرنقد</t>
        </is>
      </c>
      <c r="C98" s="5" t="inlineStr">
        <is>
          <t>پیشنهاد واگذاری زمین فاقد سند رسمی به جای طلب تجاری</t>
        </is>
      </c>
      <c r="D98" s="5" t="inlineStr">
        <is>
          <t>نامشخص (عدم امکان تایید انتقال مالکیت)</t>
        </is>
      </c>
      <c r="E98" s="5" t="inlineStr">
        <is>
          <t>نامشخص</t>
        </is>
      </c>
      <c r="F98" s="16" t="n">
        <v>100000000</v>
      </c>
      <c r="G98" s="6" t="inlineStr">
        <is>
          <t>مشتری بدهکار فاقد نقدینگی</t>
        </is>
      </c>
      <c r="H98" s="6" t="inlineStr">
        <is>
          <t>روز جاری</t>
        </is>
      </c>
      <c r="I98" s="5" t="inlineStr">
        <is>
          <t>هشدار شدید: املاک قولنامه‌ای ریسک معامله معارض دارد؛ تسویه قطعی ممنوع است</t>
        </is>
      </c>
      <c r="J98" s="5" t="inlineStr">
        <is>
          <t>قانون الزام به ثبت رسمی معاملات اموال غیرمنقول (مصوب ۱۴۰۳)</t>
        </is>
      </c>
    </row>
    <row r="99">
      <c r="A99" s="29" t="inlineStr">
        <is>
          <t>T098</t>
        </is>
      </c>
      <c r="B99" s="12" t="inlineStr">
        <is>
          <t>۱۰. تهاتر، تسویه و مطالبات غیرنقد</t>
        </is>
      </c>
      <c r="C99" s="5" t="inlineStr">
        <is>
          <t>تهاتر مطالبات بین‌گروهی شرکت مادر و تابعه با مازاد نقدی</t>
        </is>
      </c>
      <c r="D99" s="5" t="inlineStr">
        <is>
          <t>حساب‌های پرداختنی گروه (۲۵ م) + موجودی بانک (۵ م)</t>
        </is>
      </c>
      <c r="E99" s="5" t="inlineStr">
        <is>
          <t>حساب‌های دریافتنی تجاری (شرکت البرز ۳۰ م)</t>
        </is>
      </c>
      <c r="F99" s="16" t="n">
        <v>30000000</v>
      </c>
      <c r="G99" s="6" t="inlineStr">
        <is>
          <t>شرکت البرز و شرکت تابعه گروه البرز</t>
        </is>
      </c>
      <c r="H99" s="6" t="inlineStr">
        <is>
          <t>روز جاری</t>
        </is>
      </c>
      <c r="I99" s="5" t="inlineStr">
        <is>
          <t>تفکیک مطالبات و بدهی‌های تجاری درون‌گروهی به همراه وصول نقدی مابقی</t>
        </is>
      </c>
      <c r="J99" s="5" t="inlineStr">
        <is>
          <t>استاندارد حسابداری ۱۸ (صورت‌های مالی تلفیقی)</t>
        </is>
      </c>
    </row>
    <row r="100">
      <c r="A100" s="29" t="inlineStr">
        <is>
          <t>T099</t>
        </is>
      </c>
      <c r="B100" s="12" t="inlineStr">
        <is>
          <t>۱۰. تهاتر، تسویه و مطالبات غیرنقد</t>
        </is>
      </c>
      <c r="C100" s="5" t="inlineStr">
        <is>
          <t>تسویه مطالبات با دریافت چک صیادی شخص ثالث ظهرنویسی‌شده</t>
        </is>
      </c>
      <c r="D100" s="5" t="inlineStr">
        <is>
          <t>اسناد دریافتنی تجاری نزد صندوق (چک شخص ثالث)</t>
        </is>
      </c>
      <c r="E100" s="5" t="inlineStr">
        <is>
          <t>حساب‌های دریافتنی تجاری (مشتری اصلی)</t>
        </is>
      </c>
      <c r="F100" s="16" t="n">
        <v>60000000</v>
      </c>
      <c r="G100" s="6" t="inlineStr">
        <is>
          <t>مشتری اصلی و شخص ثالث صادرکننده چک</t>
        </is>
      </c>
      <c r="H100" s="6" t="inlineStr">
        <is>
          <t>سررسید ۳ ماهه آینده</t>
        </is>
      </c>
      <c r="I100" s="5" t="inlineStr">
        <is>
          <t>تطبیق تاییدیه انتقال در سامانه صیاد بانک مرکزی و ثبت تعهد تضمین مشتری اصلی</t>
        </is>
      </c>
      <c r="J100" s="5" t="inlineStr">
        <is>
          <t>قانون جدید چک و مواد ۳۱۵ و ۳۱۷ قانون تجارت</t>
        </is>
      </c>
    </row>
    <row r="101">
      <c r="A101" s="29" t="inlineStr">
        <is>
          <t>T100</t>
        </is>
      </c>
      <c r="B101" s="12" t="inlineStr">
        <is>
          <t>۱۰. تهاتر، تسویه و مطالبات غیرنقد</t>
        </is>
      </c>
      <c r="C101" s="5" t="inlineStr">
        <is>
          <t>دستور تسویه حساب مبهم بین دو شریک بدون مدارک و مبلغ</t>
        </is>
      </c>
      <c r="D101" s="5" t="inlineStr">
        <is>
          <t>نامشخص (رد صدور سند حسابداری)</t>
        </is>
      </c>
      <c r="E101" s="5" t="inlineStr">
        <is>
          <t>نامشخص</t>
        </is>
      </c>
      <c r="F101" s="16" t="inlineStr">
        <is>
          <t>نامشخص</t>
        </is>
      </c>
      <c r="G101" s="6" t="inlineStr">
        <is>
          <t>دو شریک تجاری کارگاه</t>
        </is>
      </c>
      <c r="H101" s="6" t="inlineStr">
        <is>
          <t>نامشخص</t>
        </is>
      </c>
      <c r="I101" s="5" t="inlineStr">
        <is>
          <t>رد قاطع ثبت به دلیل نقض ماده ۶ قانون تجارت و نبود ارقام و اسناد توافق کتبی</t>
        </is>
      </c>
      <c r="J101" s="5" t="inlineStr">
        <is>
          <t>قانون تجارت و اصول بنیادین حسابداری دوطرفه</t>
        </is>
      </c>
    </row>
    <row r="102">
      <c r="A102" s="29" t="inlineStr">
        <is>
          <t>T101</t>
        </is>
      </c>
      <c r="B102" s="12" t="inlineStr">
        <is>
          <t>۱۱. اصلاح اشتباهات و تعدیلات سنواتی</t>
        </is>
      </c>
      <c r="C102" s="5" t="inlineStr">
        <is>
          <t>اصلاح اشتباه ثبتی افزایش مبلغ فاکتور خرید در دفاتر</t>
        </is>
      </c>
      <c r="D102" s="5" t="inlineStr">
        <is>
          <t>حساب‌های پرداختنی تجاری فروشنده (۹ م)</t>
        </is>
      </c>
      <c r="E102" s="5" t="inlineStr">
        <is>
          <t>موجودی کالا / خرید مواد و کالا (۹ م)</t>
        </is>
      </c>
      <c r="F102" s="16" t="n">
        <v>9000000</v>
      </c>
      <c r="G102" s="6" t="inlineStr">
        <is>
          <t>تامین‌کننده کالا</t>
        </is>
      </c>
      <c r="H102" s="6" t="inlineStr">
        <is>
          <t>دوره مالی جاری</t>
        </is>
      </c>
      <c r="I102" s="5" t="inlineStr">
        <is>
          <t>صدور سند اصلاحی معکوس به میزان مابه‌التفاوت ۹ میلیون تومانی جهت تطبیق با فاکتور</t>
        </is>
      </c>
      <c r="J102" s="5" t="inlineStr">
        <is>
          <t>استاندارد حسابداری ۶ (تعدیلات و اصلاح اشتباهات)</t>
        </is>
      </c>
    </row>
    <row r="103">
      <c r="A103" s="29" t="inlineStr">
        <is>
          <t>T102</t>
        </is>
      </c>
      <c r="B103" s="12" t="inlineStr">
        <is>
          <t>۱۱. اصلاح اشتباهات و تعدیلات سنواتی</t>
        </is>
      </c>
      <c r="C103" s="5" t="inlineStr">
        <is>
          <t>اصلاح طبقه هزینه حمل که اشتباهاً به حساب فروشنده رفته بود</t>
        </is>
      </c>
      <c r="D103" s="5" t="inlineStr">
        <is>
          <t>هزینه حمل و باربری / بهای کالا (۳ م)</t>
        </is>
      </c>
      <c r="E103" s="5" t="inlineStr">
        <is>
          <t>حساب‌های پرداختنی تجاری فروشنده (۳ م)</t>
        </is>
      </c>
      <c r="F103" s="16" t="n">
        <v>3000000</v>
      </c>
      <c r="G103" s="6" t="inlineStr">
        <is>
          <t>شرکت باربری و فروشنده کالا</t>
        </is>
      </c>
      <c r="H103" s="6" t="inlineStr">
        <is>
          <t>دوره مالی جاری</t>
        </is>
      </c>
      <c r="I103" s="5" t="inlineStr">
        <is>
          <t>انتقال ردیف به هزینه واقعی و اصلاح کاردکس بستانکاری فروشنده</t>
        </is>
      </c>
      <c r="J103" s="5" t="inlineStr">
        <is>
          <t>اصول ثبت‌های اصلاحی و استانداردهای گزارشگری مالی</t>
        </is>
      </c>
    </row>
    <row r="104">
      <c r="A104" s="29" t="inlineStr">
        <is>
          <t>T103</t>
        </is>
      </c>
      <c r="B104" s="12" t="inlineStr">
        <is>
          <t>۱۱. اصلاح اشتباهات و تعدیلات سنواتی</t>
        </is>
      </c>
      <c r="C104" s="5" t="inlineStr">
        <is>
          <t>کشف فاکتور فروش دوره مالی قبل که در دفاتر جا افتاده بود</t>
        </is>
      </c>
      <c r="D104" s="5" t="inlineStr">
        <is>
          <t>حساب‌های دریافتنی تجاری (مشتری ۴۵ م)</t>
        </is>
      </c>
      <c r="E104" s="5" t="inlineStr">
        <is>
          <t>سود و زیان انباشته (تعدیلات سنواتی ۴۵ م)</t>
        </is>
      </c>
      <c r="F104" s="16" t="n">
        <v>45000000</v>
      </c>
      <c r="G104" s="6" t="inlineStr">
        <is>
          <t>مشتری دوره مالی گذشته</t>
        </is>
      </c>
      <c r="H104" s="6" t="inlineStr">
        <is>
          <t>سال قبل (اصلاح در سال جاری)</t>
        </is>
      </c>
      <c r="I104" s="5" t="inlineStr">
        <is>
          <t>ثبت در حساب تعدیلات سنواتی طبق استاندارد ۶ به جای درآمد فروش جاری</t>
        </is>
      </c>
      <c r="J104" s="5" t="inlineStr">
        <is>
          <t>استاندارد حسابداری ۶ و ارائه مجدد ارقام مقایسه‌ای صورت‌ها</t>
        </is>
      </c>
    </row>
    <row r="105">
      <c r="A105" s="29" t="inlineStr">
        <is>
          <t>T104</t>
        </is>
      </c>
      <c r="B105" s="12" t="inlineStr">
        <is>
          <t>۱۱. اصلاح اشتباهات و تعدیلات سنواتی</t>
        </is>
      </c>
      <c r="C105" s="5" t="inlineStr">
        <is>
          <t>درخواست سندسازی و تغییر سرفصل برای فریب ممیز مالیاتی</t>
        </is>
      </c>
      <c r="D105" s="5" t="inlineStr">
        <is>
          <t>نامشخص (رد تقلب مالیاتی)</t>
        </is>
      </c>
      <c r="E105" s="5" t="inlineStr">
        <is>
          <t>نامشخص</t>
        </is>
      </c>
      <c r="F105" s="16" t="inlineStr">
        <is>
          <t>نامشخص</t>
        </is>
      </c>
      <c r="G105" s="6" t="inlineStr">
        <is>
          <t>اداره امور مالیاتی ممیزی</t>
        </is>
      </c>
      <c r="H105" s="6" t="inlineStr">
        <is>
          <t>دوره مالی گذشته</t>
        </is>
      </c>
      <c r="I105" s="5" t="inlineStr">
        <is>
          <t>رد قاطع دستکاری اسناد گذشته و اخطار عواقب کیفری و مالیاتی جرایم کتمان درآمد</t>
        </is>
      </c>
      <c r="J105" s="5" t="inlineStr">
        <is>
          <t>ماده ۲۰۱ و ۲۷۴ قانون مالیات‌های مستقیم (جرم مالیاتی)</t>
        </is>
      </c>
    </row>
    <row r="106">
      <c r="A106" s="29" t="inlineStr">
        <is>
          <t>T105</t>
        </is>
      </c>
      <c r="B106" s="12" t="inlineStr">
        <is>
          <t>۱۱. اصلاح اشتباهات و تعدیلات سنواتی</t>
        </is>
      </c>
      <c r="C106" s="5" t="inlineStr">
        <is>
          <t>اصلاح طبقه سود بانکی از درآمد معاف به درآمد مشمول مالیات</t>
        </is>
      </c>
      <c r="D106" s="5" t="inlineStr">
        <is>
          <t>درآمدهای غیرعملیاتی معاف مالیاتی (۸ م)</t>
        </is>
      </c>
      <c r="E106" s="5" t="inlineStr">
        <is>
          <t>درآمدهای غیرعملیاتی مشمول مالیات عملکرد (۸ م)</t>
        </is>
      </c>
      <c r="F106" s="16" t="n">
        <v>8000000</v>
      </c>
      <c r="G106" s="6" t="inlineStr">
        <is>
          <t>بانک عامل سرمایه‌گذاری</t>
        </is>
      </c>
      <c r="H106" s="6" t="inlineStr">
        <is>
          <t>سال مالی جاری</t>
        </is>
      </c>
      <c r="I106" s="5" t="inlineStr">
        <is>
          <t>تغییر طبقه درآمد جهت تطبیق با جدول معافیت‌ها و جلوگیری از رد دفاتر ممیز</t>
        </is>
      </c>
      <c r="J106" s="5" t="inlineStr">
        <is>
          <t>ماده ۱۳۲ و ۱۴۵ و جدول معافیت‌های قانون مالیات‌ها</t>
        </is>
      </c>
    </row>
    <row r="107">
      <c r="A107" s="29" t="inlineStr">
        <is>
          <t>T106</t>
        </is>
      </c>
      <c r="B107" s="12" t="inlineStr">
        <is>
          <t>۱۱. اصلاح اشتباهات و تعدیلات سنواتی</t>
        </is>
      </c>
      <c r="C107" s="5" t="inlineStr">
        <is>
          <t>اصلاح کم‌برآوردی هزینه استهلاک دارایی سال گذشته</t>
        </is>
      </c>
      <c r="D107" s="5" t="inlineStr">
        <is>
          <t>سود و زیان انباشته (تعدیلات سنواتی استهلاک ۳۰ م)</t>
        </is>
      </c>
      <c r="E107" s="5" t="inlineStr">
        <is>
          <t>استهلاک انباشته ماشین‌آلات کارخانه (۳۰ م)</t>
        </is>
      </c>
      <c r="F107" s="16" t="n">
        <v>30000000</v>
      </c>
      <c r="G107" s="6" t="inlineStr">
        <is>
          <t>ماشین‌آلات و تجهیزات تولیدی</t>
        </is>
      </c>
      <c r="H107" s="6" t="inlineStr">
        <is>
          <t>سال قبل (کشف در سال جاری)</t>
        </is>
      </c>
      <c r="I107" s="5" t="inlineStr">
        <is>
          <t>اصلاح ارزش دفتری دارایی از طریق تعدیلات سود انباشته بدون تغییر هزینه سال جاری</t>
        </is>
      </c>
      <c r="J107" s="5" t="inlineStr">
        <is>
          <t>استاندارد حسابداری ۶ و استاندارد ۱۱ دارایی ثابت</t>
        </is>
      </c>
    </row>
    <row r="108">
      <c r="A108" s="29" t="inlineStr">
        <is>
          <t>T107</t>
        </is>
      </c>
      <c r="B108" s="12" t="inlineStr">
        <is>
          <t>۱۱. اصلاح اشتباهات و تعدیلات سنواتی</t>
        </is>
      </c>
      <c r="C108" s="5" t="inlineStr">
        <is>
          <t>مفقودی لاشه ۵ فقره چک با سابقه ثبت بدون لاشه در سیستم</t>
        </is>
      </c>
      <c r="D108" s="5" t="inlineStr">
        <is>
          <t>حساب‌های معلق یا انتظامی (مشروط)</t>
        </is>
      </c>
      <c r="E108" s="5" t="inlineStr">
        <is>
          <t>اسناد پرداختنی ثبت‌شده صوری</t>
        </is>
      </c>
      <c r="F108" s="16" t="inlineStr">
        <is>
          <t>نامشخص</t>
        </is>
      </c>
      <c r="G108" s="6" t="inlineStr">
        <is>
          <t>حسابدار سابق و دارندگان نامشخص چک</t>
        </is>
      </c>
      <c r="H108" s="6" t="inlineStr">
        <is>
          <t>دوره‌های مالی قبل</t>
        </is>
      </c>
      <c r="I108" s="5" t="inlineStr">
        <is>
          <t>طرح سؤال و اخطار: استعلام از بانک و الزام به طی مراحل اعلام مفقودی چک در دادسرا</t>
        </is>
      </c>
      <c r="J108" s="5" t="inlineStr">
        <is>
          <t>ماده ۱۴ قانون صدور چک و آیین‌نامه تحریر دفاتر قانونی</t>
        </is>
      </c>
    </row>
    <row r="109">
      <c r="A109" s="29" t="inlineStr">
        <is>
          <t>T108</t>
        </is>
      </c>
      <c r="B109" s="12" t="inlineStr">
        <is>
          <t>۱۱. اصلاح اشتباهات و تعدیلات سنواتی</t>
        </is>
      </c>
      <c r="C109" s="5" t="inlineStr">
        <is>
          <t>اصلاح ثبت اشتباه برگشت از فروش به عنوان تخفیف خرید</t>
        </is>
      </c>
      <c r="D109" s="5" t="inlineStr">
        <is>
          <t>برگشت از فروش و تخفیفات (۵ م)</t>
        </is>
      </c>
      <c r="E109" s="5" t="inlineStr">
        <is>
          <t>تخفیفات نقدی خرید (۵ م)</t>
        </is>
      </c>
      <c r="F109" s="16" t="n">
        <v>5000000</v>
      </c>
      <c r="G109" s="6" t="inlineStr">
        <is>
          <t>مشتری و فروشنده شرکت</t>
        </is>
      </c>
      <c r="H109" s="6" t="inlineStr">
        <is>
          <t>دوره جاری</t>
        </is>
      </c>
      <c r="I109" s="5" t="inlineStr">
        <is>
          <t>اصلاح دو سرفصل درآمدی و خرید کالا به صورت همزمان جهت تراز شدن دفاتر</t>
        </is>
      </c>
      <c r="J109" s="5" t="inlineStr">
        <is>
          <t>اصول و مبانی حسابداری دوطرفه استاندارد ایران</t>
        </is>
      </c>
    </row>
    <row r="110">
      <c r="A110" s="29" t="inlineStr">
        <is>
          <t>T109</t>
        </is>
      </c>
      <c r="B110" s="12" t="inlineStr">
        <is>
          <t>۱۱. اصلاح اشتباهات و تعدیلات سنواتی</t>
        </is>
      </c>
      <c r="C110" s="5" t="inlineStr">
        <is>
          <t>برگشت چک وصول‌نشده که اشتباهاً هزینه ثبت شده بود</t>
        </is>
      </c>
      <c r="D110" s="5" t="inlineStr">
        <is>
          <t>حساب‌های دریافتنی تجاری مشتری (طلبکار برگشتی)</t>
        </is>
      </c>
      <c r="E110" s="5" t="inlineStr">
        <is>
          <t>سایر هزینه‌های متفرقه اداری (اصلاح هزینه)</t>
        </is>
      </c>
      <c r="F110" s="16" t="inlineStr">
        <is>
          <t>نامشخص</t>
        </is>
      </c>
      <c r="G110" s="6" t="inlineStr">
        <is>
          <t>مشتری صادرکننده چک برگشتی</t>
        </is>
      </c>
      <c r="H110" s="6" t="inlineStr">
        <is>
          <t>دوره مالی جاری</t>
        </is>
      </c>
      <c r="I110" s="5" t="inlineStr">
        <is>
          <t>احیای طلب تجاری مشتری و حذف هزینه نامربوط از صورت سود و زیان شرکت</t>
        </is>
      </c>
      <c r="J110" s="5" t="inlineStr">
        <is>
          <t>استانداردهای بدهی‌ها و مطالبات تجاری و کنترل حساب‌ها</t>
        </is>
      </c>
    </row>
    <row r="111">
      <c r="A111" s="29" t="inlineStr">
        <is>
          <t>T110</t>
        </is>
      </c>
      <c r="B111" s="12" t="inlineStr">
        <is>
          <t>۱۱. اصلاح اشتباهات و تعدیلات سنواتی</t>
        </is>
      </c>
      <c r="C111" s="5" t="inlineStr">
        <is>
          <t>دستور غیرواقعی بالانس حساب‌ها با سند صوری ۱۰ میلیاردی</t>
        </is>
      </c>
      <c r="D111" s="5" t="inlineStr">
        <is>
          <t>نامشخص (رد صدور هرگونه سند متوازن‌کننده صوری)</t>
        </is>
      </c>
      <c r="E111" s="5" t="inlineStr">
        <is>
          <t>نامشخص</t>
        </is>
      </c>
      <c r="F111" s="16" t="n">
        <v>10000000000</v>
      </c>
      <c r="G111" s="6" t="inlineStr">
        <is>
          <t>انبار و بانک شرکت</t>
        </is>
      </c>
      <c r="H111" s="6" t="inlineStr">
        <is>
          <t>نامشخص</t>
        </is>
      </c>
      <c r="I111" s="5" t="inlineStr">
        <is>
          <t>رد مطلق و هشدار: صدور سند توازن‌ساز صوری جرم حسابرسی، جعل اسناد و فساد مالی است</t>
        </is>
      </c>
      <c r="J111" s="5" t="inlineStr">
        <is>
          <t>قانون مجازات اسلامی و ماده ۲۷۴ قانون مالیات‌های مستقیم</t>
        </is>
      </c>
    </row>
    <row r="112">
      <c r="A112" s="29" t="inlineStr">
        <is>
          <t>T111</t>
        </is>
      </c>
      <c r="B112" s="12" t="inlineStr">
        <is>
          <t>۱۲. درآمد غیرعملیاتی، ضایعات و رویداد غیرعادی</t>
        </is>
      </c>
      <c r="C112" s="5" t="inlineStr">
        <is>
          <t>شناسایی و وصول سود ماهانه سپرده سرمایه‌گذاری بانکی</t>
        </is>
      </c>
      <c r="D112" s="5" t="inlineStr">
        <is>
          <t>موجودی حساب جاری بانک آینده</t>
        </is>
      </c>
      <c r="E112" s="5" t="inlineStr">
        <is>
          <t>درآمد غیرعملیاتی سود سپرده‌های سرمایه‌گذاری</t>
        </is>
      </c>
      <c r="F112" s="16" t="n">
        <v>4200000</v>
      </c>
      <c r="G112" s="6" t="inlineStr">
        <is>
          <t>بانک آینده (شعبه مرکزی)</t>
        </is>
      </c>
      <c r="H112" s="6" t="inlineStr">
        <is>
          <t>ماه جاری</t>
        </is>
      </c>
      <c r="I112" s="5" t="inlineStr">
        <is>
          <t>ثبت درآمد غیرعملیاتی معاف از مالیات طبق ماده ۱۴۵ قانون مالیات‌ها</t>
        </is>
      </c>
      <c r="J112" s="5" t="inlineStr">
        <is>
          <t>ماده ۱۴۵ قانون مالیات‌های مستقیم و استانداردهای مالی</t>
        </is>
      </c>
    </row>
    <row r="113">
      <c r="A113" s="29" t="inlineStr">
        <is>
          <t>T112</t>
        </is>
      </c>
      <c r="B113" s="12" t="inlineStr">
        <is>
          <t>۱۲. درآمد غیرعملیاتی، ضایعات و رویداد غیرعادی</t>
        </is>
      </c>
      <c r="C113" s="5" t="inlineStr">
        <is>
          <t>فروش نقدی ضایعات کارتن و ملزومات کارگاه به خریدار</t>
        </is>
      </c>
      <c r="D113" s="5" t="inlineStr">
        <is>
          <t>موجودی صندوق نقد شرکت</t>
        </is>
      </c>
      <c r="E113" s="5" t="inlineStr">
        <is>
          <t>سایر درآمدهای غیرعملیاتی (درآمد حاصل از فروش ضایعات)</t>
        </is>
      </c>
      <c r="F113" s="16" t="n">
        <v>7000000</v>
      </c>
      <c r="G113" s="6" t="inlineStr">
        <is>
          <t>خریدار ضایعات بسته‌بندی</t>
        </is>
      </c>
      <c r="H113" s="6" t="inlineStr">
        <is>
          <t>روز جاری</t>
        </is>
      </c>
      <c r="I113" s="5" t="inlineStr">
        <is>
          <t>ثبت ورود نقدینگی و ثبت در درآمد غیرعملیاتی بدون کسر موجودی کالای اصلی</t>
        </is>
      </c>
      <c r="J113" s="5" t="inlineStr">
        <is>
          <t>استاندارد حسابداری ۸ و بخشنامه‌های مالیاتی فروش پسماند</t>
        </is>
      </c>
    </row>
    <row r="114">
      <c r="A114" s="29" t="inlineStr">
        <is>
          <t>T113</t>
        </is>
      </c>
      <c r="B114" s="12" t="inlineStr">
        <is>
          <t>۱۲. درآمد غیرعملیاتی، ضایعات و رویداد غیرعادی</t>
        </is>
      </c>
      <c r="C114" s="5" t="inlineStr">
        <is>
          <t>دریافت خسارت بیمه آتش‌سوزی انبار و شناسایی زیان خالص</t>
        </is>
      </c>
      <c r="D114" s="5" t="inlineStr">
        <is>
          <t>بانک بیمه (۲۵ م) + زیان ناشی از سوانح و آتش‌سوزی (۱۵ م)</t>
        </is>
      </c>
      <c r="E114" s="5" t="inlineStr">
        <is>
          <t>موجودی مواد و کالای آسیب‌دیده (۴۰ م)</t>
        </is>
      </c>
      <c r="F114" s="16" t="n">
        <v>40000000</v>
      </c>
      <c r="G114" s="6" t="inlineStr">
        <is>
          <t>شرکت سهامی بیمه دانا</t>
        </is>
      </c>
      <c r="H114" s="6" t="inlineStr">
        <is>
          <t>روز جاری سانحه</t>
        </is>
      </c>
      <c r="I114" s="5" t="inlineStr">
        <is>
          <t>تفکیک غرامت دریافتی نقد بیمه از خالص زیان سوختگی و خروج کالا از دفاتر</t>
        </is>
      </c>
      <c r="J114" s="5" t="inlineStr">
        <is>
          <t>استاندارد حسابداری ۱۲ و ماده ۱۴۸ بند ۹ قانون مالیات‌ها</t>
        </is>
      </c>
    </row>
    <row r="115">
      <c r="A115" s="29" t="inlineStr">
        <is>
          <t>T114</t>
        </is>
      </c>
      <c r="B115" s="12" t="inlineStr">
        <is>
          <t>۱۲. درآمد غیرعملیاتی، ضایعات و رویداد غیرعادی</t>
        </is>
      </c>
      <c r="C115" s="5" t="inlineStr">
        <is>
          <t>دریافت وجه بلاعوض حمایتی جهت تحقیقات شرکت دانش‌بنیان</t>
        </is>
      </c>
      <c r="D115" s="5" t="inlineStr">
        <is>
          <t>موجودی حساب بانک شرکت</t>
        </is>
      </c>
      <c r="E115" s="5" t="inlineStr">
        <is>
          <t>کمک‌های بلاعوض سرمایه‌ای/درآمدی (مشروط)</t>
        </is>
      </c>
      <c r="F115" s="16" t="n">
        <v>50000000</v>
      </c>
      <c r="G115" s="6" t="inlineStr">
        <is>
          <t>خیّر / نهاد حامی علم و فناوری</t>
        </is>
      </c>
      <c r="H115" s="6" t="inlineStr">
        <is>
          <t>روز جاری</t>
        </is>
      </c>
      <c r="I115" s="5" t="inlineStr">
        <is>
          <t>طرح سؤال: آیا کمک مشروط به هزینه‌کرد خاص است یا بلاعوض مطلق؟ تفکیک درآمد از آورده</t>
        </is>
      </c>
      <c r="J115" s="5" t="inlineStr">
        <is>
          <t>استاندارد حسابداری ۱۰ (حسابداری کمک‌های بلاعوض)</t>
        </is>
      </c>
    </row>
    <row r="116">
      <c r="A116" s="29" t="inlineStr">
        <is>
          <t>T115</t>
        </is>
      </c>
      <c r="B116" s="12" t="inlineStr">
        <is>
          <t>۱۲. درآمد غیرعملیاتی، ضایعات و رویداد غیرعادی</t>
        </is>
      </c>
      <c r="C116" s="5" t="inlineStr">
        <is>
          <t>شناسایی سود تسعیر دارایی ارزی بانک در پایان سال مالی</t>
        </is>
      </c>
      <c r="D116" s="5" t="inlineStr">
        <is>
          <t>موجودی حساب بانکی درهمی (تسعیر به نرخ روز)</t>
        </is>
      </c>
      <c r="E116" s="5" t="inlineStr">
        <is>
          <t>درآمد غیرعملیاتی ناشی از تسعیر دارایی‌های ارزی</t>
        </is>
      </c>
      <c r="F116" s="16" t="n">
        <v>30000000</v>
      </c>
      <c r="G116" s="6" t="inlineStr">
        <is>
          <t>بانک عامل ارزی خارجی</t>
        </is>
      </c>
      <c r="H116" s="6" t="inlineStr">
        <is>
          <t>پایان دوره مالی</t>
        </is>
      </c>
      <c r="I116" s="5" t="inlineStr">
        <is>
          <t>محاسبه تفاوت نرخ ارز ابتدا و انتهای دوره و ثبت درآمد تسعیر در سود و زیان</t>
        </is>
      </c>
      <c r="J116" s="5" t="inlineStr">
        <is>
          <t>استاندارد حسابداری ۱۶ (آثار تغییرات در نرخ ارز) و ماده ۱۳۶ ق.م.م</t>
        </is>
      </c>
    </row>
    <row r="117">
      <c r="A117" s="29" t="inlineStr">
        <is>
          <t>T116</t>
        </is>
      </c>
      <c r="B117" s="12" t="inlineStr">
        <is>
          <t>۱۲. درآمد غیرعملیاتی، ضایعات و رویداد غیرعادی</t>
        </is>
      </c>
      <c r="C117" s="5" t="inlineStr">
        <is>
          <t>فروش نقدی دستگاه مستعمل مستهلک‌شده در مزایده کارگاه</t>
        </is>
      </c>
      <c r="D117" s="5" t="inlineStr">
        <is>
          <t>موجودی حساب بانک کارخانه</t>
        </is>
      </c>
      <c r="E117" s="5" t="inlineStr">
        <is>
          <t>سایر درآمدهای عملیاتی/غیرعملیاتی فروش ماشین‌آلات</t>
        </is>
      </c>
      <c r="F117" s="16" t="n">
        <v>18000000</v>
      </c>
      <c r="G117" s="6" t="inlineStr">
        <is>
          <t>برنده مزایده مستعملات کارگاه</t>
        </is>
      </c>
      <c r="H117" s="6" t="inlineStr">
        <is>
          <t>روز جاری مزایده</t>
        </is>
      </c>
      <c r="I117" s="5" t="inlineStr">
        <is>
          <t>خروج رسمی از دفاتر با ارزش صفر و شناسایی کل مبلغ دریافتی به عنوان سود فروش دارایی</t>
        </is>
      </c>
      <c r="J117" s="5" t="inlineStr">
        <is>
          <t>استاندارد حسابداری ۱۱ (واگذاری دارایی‌های مستهلک)</t>
        </is>
      </c>
    </row>
    <row r="118">
      <c r="A118" s="29" t="inlineStr">
        <is>
          <t>T117</t>
        </is>
      </c>
      <c r="B118" s="12" t="inlineStr">
        <is>
          <t>۱۲. درآمد غیرعملیاتی، ضایعات و رویداد غیرعادی</t>
        </is>
      </c>
      <c r="C118" s="5" t="inlineStr">
        <is>
          <t>دریافت پاداش یا حق‌العمل نامشخص از شرکت همکار</t>
        </is>
      </c>
      <c r="D118" s="5" t="inlineStr">
        <is>
          <t>موجودی بانک شرکت</t>
        </is>
      </c>
      <c r="E118" s="5" t="inlineStr">
        <is>
          <t>سایر درآمدهای عملیاتی (کارمزد و کمیسیون مشروط)</t>
        </is>
      </c>
      <c r="F118" s="16" t="n">
        <v>15000000</v>
      </c>
      <c r="G118" s="6" t="inlineStr">
        <is>
          <t>شرکت همکار بازرگانی</t>
        </is>
      </c>
      <c r="H118" s="6" t="inlineStr">
        <is>
          <t>روز جاری</t>
        </is>
      </c>
      <c r="I118" s="5" t="inlineStr">
        <is>
          <t>طرح سؤال: آیا قرارداد کمیسیون یا حق‌العمل وجود دارد؟ مالیات ارزش افزوده تعلق می‌گیرد</t>
        </is>
      </c>
      <c r="J118" s="5" t="inlineStr">
        <is>
          <t>قانون مالیات بر ارزش افزوده و ماده ۳۵۷ قانون تجارت</t>
        </is>
      </c>
    </row>
    <row r="119">
      <c r="A119" s="29" t="inlineStr">
        <is>
          <t>T118</t>
        </is>
      </c>
      <c r="B119" s="12" t="inlineStr">
        <is>
          <t>۱۲. درآمد غیرعملیاتی، ضایعات و رویداد غیرعادی</t>
        </is>
      </c>
      <c r="C119" s="5" t="inlineStr">
        <is>
          <t>دریافت خسارت تاخیر تحویل کالا از شرکت حمل و نقل</t>
        </is>
      </c>
      <c r="D119" s="5" t="inlineStr">
        <is>
          <t>موجودی حساب جاری بانک شرکت</t>
        </is>
      </c>
      <c r="E119" s="5" t="inlineStr">
        <is>
          <t>سایر درآمدهای غیرعملیاتی (خسارات دریافتی قرارداد)</t>
        </is>
      </c>
      <c r="F119" s="16" t="n">
        <v>12000000</v>
      </c>
      <c r="G119" s="6" t="inlineStr">
        <is>
          <t>شرکت بین‌المللی حمل و باربری</t>
        </is>
      </c>
      <c r="H119" s="6" t="inlineStr">
        <is>
          <t>روز جاری داوری</t>
        </is>
      </c>
      <c r="I119" s="5" t="inlineStr">
        <is>
          <t>شناسایی درآمد غیرعملیاتی ناشی از اجرای بند خسارت و التزام قراردادی</t>
        </is>
      </c>
      <c r="J119" s="5" t="inlineStr">
        <is>
          <t>ماده ۲۲۱ و ۲۳۰ قانون مدنی و استانداردهای گزارشگری مالی</t>
        </is>
      </c>
    </row>
    <row r="120">
      <c r="A120" s="29" t="inlineStr">
        <is>
          <t>T119</t>
        </is>
      </c>
      <c r="B120" s="12" t="inlineStr">
        <is>
          <t>۱۲. درآمد غیرعملیاتی، ضایعات و رویداد غیرعادی</t>
        </is>
      </c>
      <c r="C120" s="5" t="inlineStr">
        <is>
          <t>شناسایی زیان تسعیر بدهی ارزی پایان دوره به تامین‌کننده</t>
        </is>
      </c>
      <c r="D120" s="5" t="inlineStr">
        <is>
          <t>هزینه غیرعملیاتی ناشی از تسعیر ارز (زیان تسعیر)</t>
        </is>
      </c>
      <c r="E120" s="5" t="inlineStr">
        <is>
          <t>حساب‌های پرداختنی تجاری ارزی تامین‌کننده</t>
        </is>
      </c>
      <c r="F120" s="16" t="n">
        <v>35000000</v>
      </c>
      <c r="G120" s="6" t="inlineStr">
        <is>
          <t>تامین‌کننده قطعات خارجی</t>
        </is>
      </c>
      <c r="H120" s="6" t="inlineStr">
        <is>
          <t>پایان سال مالی</t>
        </is>
      </c>
      <c r="I120" s="5" t="inlineStr">
        <is>
          <t>تجدید ارزیابی بدهی ارزی به نرخ تسعیر حواله پایانی و شناسایی هزینه زیان تسعیر</t>
        </is>
      </c>
      <c r="J120" s="5" t="inlineStr">
        <is>
          <t>استاندارد حسابداری ۱۶ و بخشنامه‌های سازمان مالیاتی</t>
        </is>
      </c>
    </row>
    <row r="121">
      <c r="A121" s="29" t="inlineStr">
        <is>
          <t>T120</t>
        </is>
      </c>
      <c r="B121" s="12" t="inlineStr">
        <is>
          <t>۱۲. درآمد غیرعملیاتی، ضایعات و رویداد غیرعادی</t>
        </is>
      </c>
      <c r="C121" s="5" t="inlineStr">
        <is>
          <t>واریز وجه سنگین مشکوک بدون منشأ با دستور ثبت در درآمد متفرقه</t>
        </is>
      </c>
      <c r="D121" s="5" t="inlineStr">
        <is>
          <t>نامشخص (رد ثبت واریز مشکوک به درآمد)</t>
        </is>
      </c>
      <c r="E121" s="5" t="inlineStr">
        <is>
          <t>نامشخص (حساب‌های مشکوک تعلیقی)</t>
        </is>
      </c>
      <c r="F121" s="16" t="n">
        <v>50000000</v>
      </c>
      <c r="G121" s="6" t="inlineStr">
        <is>
          <t>واریزکننده ناشناس بانکی</t>
        </is>
      </c>
      <c r="H121" s="6" t="inlineStr">
        <is>
          <t>روز جاری</t>
        </is>
      </c>
      <c r="I121" s="5" t="inlineStr">
        <is>
          <t>رد قاطع؛ اعلام مغایرت بانکی، اخطار نقض قوانین مبارزه با پولشویی و ثبت موقت انتظامی</t>
        </is>
      </c>
      <c r="J121" s="5" t="inlineStr">
        <is>
          <t>قانون مبارزه با پولشویی و استانداردهای کنترل‌های داخلی بانکداری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2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25" customWidth="1" style="45" min="1" max="10"/>
    <col width="7.63" customWidth="1" style="45" min="12" max="12"/>
    <col width="32.63" customWidth="1" style="45" min="13" max="13"/>
    <col width="12.63" customWidth="1" style="45" min="14" max="14"/>
    <col width="15.13" customWidth="1" style="45" min="15" max="15"/>
    <col width="27.63" customWidth="1" style="45" min="16" max="16"/>
  </cols>
  <sheetData>
    <row r="1" ht="31.5" customHeight="1" s="45">
      <c r="A1" s="1" t="inlineStr">
        <is>
          <t>کد سناریو</t>
        </is>
      </c>
      <c r="B1" s="1" t="inlineStr">
        <is>
          <t>سرفصل حسابداری (دسته)</t>
        </is>
      </c>
      <c r="C1" s="1" t="inlineStr">
        <is>
          <t>تشخیص رویداد (۰-۲۵)</t>
        </is>
      </c>
      <c r="D1" s="1" t="inlineStr">
        <is>
          <t>ثبت بدهکار/بستانکار (۰-۲۵)</t>
        </is>
      </c>
      <c r="E1" s="1" t="inlineStr">
        <is>
          <t>استخراج مبالغ (۰-۲۰)</t>
        </is>
      </c>
      <c r="F1" s="1" t="inlineStr">
        <is>
          <t>طرف‌حساب و تاریخ (۰-۱۵)</t>
        </is>
      </c>
      <c r="G1" s="1" t="inlineStr">
        <is>
          <t>مدیریت ابهام/ترکیب (۰-۱۵)</t>
        </is>
      </c>
      <c r="H1" s="1" t="inlineStr">
        <is>
          <t>نمره کل (از ۱۰۰)</t>
        </is>
      </c>
      <c r="I1" s="1" t="inlineStr">
        <is>
          <t>وضعیت ارزیابی کیفی</t>
        </is>
      </c>
      <c r="J1" s="1" t="inlineStr">
        <is>
          <t>وضعیت ثبت در تست کور</t>
        </is>
      </c>
      <c r="L1" s="2" t="inlineStr">
        <is>
          <t>ردیف</t>
        </is>
      </c>
      <c r="M1" s="2" t="inlineStr">
        <is>
          <t>نوع خطای شناسایی‌شده در موتور هوش مصنوعی</t>
        </is>
      </c>
      <c r="N1" s="2" t="inlineStr">
        <is>
          <t>تعداد رخداد</t>
        </is>
      </c>
      <c r="O1" s="2" t="inlineStr">
        <is>
          <t>درصد از کل خطاها</t>
        </is>
      </c>
      <c r="P1" s="2" t="inlineStr">
        <is>
          <t>سطح ریسک حسابرسی/مالیاتی</t>
        </is>
      </c>
    </row>
    <row r="2">
      <c r="A2" s="12">
        <f>'تست کور'!A2</f>
        <v/>
      </c>
      <c r="B2" s="12">
        <f>'تست کور'!B2</f>
        <v/>
      </c>
      <c r="C2" s="10">
        <f>IF(OR('تست کور'!I2="", 'تست کور'!I2="امتناع درست — قاعده‌اش در این فاز ساخته نشده"), "", IF('تست کور'!I2="قبولی کامل (Pass)", 25, IF('تست کور'!J2="خطا در تشخیص ماهیت رویداد", 0, IF('تست کور'!I2="قبولی مشروط (Conditional)", 20, 15))))</f>
        <v/>
      </c>
      <c r="D2" s="10">
        <f>IF(OR('تست کور'!I2="", 'تست کور'!I2="امتناع درست — قاعده‌اش در این فاز ساخته نشده"), "", IF('تست کور'!I2="قبولی کامل (Pass)", 25, IF(OR('تست کور'!J2="جابجایی یا اشتباه بدهکار/بستانکار", 'تست کور'!I2="خطا در تشخیص سرفصل"), 0, IF('تست کور'!I2="قبولی مشروط (Conditional)", 18, 10))))</f>
        <v/>
      </c>
      <c r="E2" s="10">
        <f>IF(OR('تست کور'!I2="", 'تست کور'!I2="امتناع درست — قاعده‌اش در این فاز ساخته نشده"), "", IF('تست کور'!I2="قبولی کامل (Pass)", 20, IF(OR('تست کور'!J2="استخراج اشتباه مبلغ یا ارقام", 'تست کور'!I2="خطا در استخراج مبلغ"), 0, IF('تست کور'!I2="قبولی مشروط (Conditional)", 15, 12))))</f>
        <v/>
      </c>
      <c r="F2" s="10">
        <f>IF(OR('تست کور'!I2="", 'تست کور'!I2="امتناع درست — قاعده‌اش در این فاز ساخته نشده"), "", IF('تست کور'!I2="قبولی کامل (Pass)", 15, IF('تست کور'!J2="عدم تشخیص سررسید یا طرف‌حساب", 0, IF('تست کور'!I2="قبولی مشروط (Conditional)", 11, 10))))</f>
        <v/>
      </c>
      <c r="G2" s="10">
        <f>IF(OR('تست کور'!I2="", 'تست کور'!I2="امتناع درست — قاعده‌اش در این فاز ساخته نشده"), "", IF('تست کور'!I2="قبولی کامل (Pass)", 15, IF(OR('تست کور'!J2="عدم طرح سؤال در سناریوی مبهم", 'تست کور'!J2="طرح سؤال تکمیلی غلط و توهم اطلاعات", 'تست کور'!I2="سؤال تکمیلی نامربوط/توهم", 'تست کور'!I2="سکوت اشتباه در ابهام"), 0, IF(OR('تست کور'!J2="از قلم افتادن بخش دوم در جمله مرکب", 'تست کور'!I2="عدم تفکیک رویدادها"), 3, IF('تست کور'!I2="قبولی مشروط (Conditional)", 11, 8)))))</f>
        <v/>
      </c>
      <c r="H2" s="10">
        <f>IF(C2="", "", C2+D2+E2+F2+G2)</f>
        <v/>
      </c>
      <c r="I2" s="12">
        <f>IF(H2="", "در انتظار آزمون", IF(H2&gt;=85, "قبولی ممتاز (Passed)", IF(H2&gt;=70, "قبولی متوسط (Acceptable)", IF(H2&gt;=50, "نیازمند بازآموزی (Retrain)", "مردود (Failed)"))))</f>
        <v/>
      </c>
      <c r="J2" s="12">
        <f>IF('تست کور'!I2="", "تست نشده", 'تست کور'!I2)</f>
        <v/>
      </c>
      <c r="L2" s="12" t="inlineStr">
        <is>
          <t>۱</t>
        </is>
      </c>
      <c r="M2" s="13" t="inlineStr">
        <is>
          <t>خطا در تشخیص ماهیت رویداد</t>
        </is>
      </c>
      <c r="N2" s="14">
        <f>COUNTIF('تست کور'!$J$2:$J$121, M2)</f>
        <v/>
      </c>
      <c r="O2" s="27">
        <f>IF(SUM($N$2:$N$9)=0, 0, N2/SUM($N$2:$N$9))</f>
        <v/>
      </c>
      <c r="P2" s="12" t="inlineStr">
        <is>
          <t>بسیار بالا (رد دفاتر قانونی)</t>
        </is>
      </c>
    </row>
    <row r="3">
      <c r="A3" s="12">
        <f>'تست کور'!A3</f>
        <v/>
      </c>
      <c r="B3" s="12">
        <f>'تست کور'!B3</f>
        <v/>
      </c>
      <c r="C3" s="10">
        <f>IF(OR('تست کور'!I3="", 'تست کور'!I3="امتناع درست — قاعده‌اش در این فاز ساخته نشده"), "", IF('تست کور'!I3="قبولی کامل (Pass)", 25, IF('تست کور'!J3="خطا در تشخیص ماهیت رویداد", 0, IF('تست کور'!I3="قبولی مشروط (Conditional)", 20, 15))))</f>
        <v/>
      </c>
      <c r="D3" s="10">
        <f>IF(OR('تست کور'!I3="", 'تست کور'!I3="امتناع درست — قاعده‌اش در این فاز ساخته نشده"), "", IF('تست کور'!I3="قبولی کامل (Pass)", 25, IF(OR('تست کور'!J3="جابجایی یا اشتباه بدهکار/بستانکار", 'تست کور'!I3="خطا در تشخیص سرفصل"), 0, IF('تست کور'!I3="قبولی مشروط (Conditional)", 18, 10))))</f>
        <v/>
      </c>
      <c r="E3" s="10">
        <f>IF(OR('تست کور'!I3="", 'تست کور'!I3="امتناع درست — قاعده‌اش در این فاز ساخته نشده"), "", IF('تست کور'!I3="قبولی کامل (Pass)", 20, IF(OR('تست کور'!J3="استخراج اشتباه مبلغ یا ارقام", 'تست کور'!I3="خطا در استخراج مبلغ"), 0, IF('تست کور'!I3="قبولی مشروط (Conditional)", 15, 12))))</f>
        <v/>
      </c>
      <c r="F3" s="10">
        <f>IF(OR('تست کور'!I3="", 'تست کور'!I3="امتناع درست — قاعده‌اش در این فاز ساخته نشده"), "", IF('تست کور'!I3="قبولی کامل (Pass)", 15, IF('تست کور'!J3="عدم تشخیص سررسید یا طرف‌حساب", 0, IF('تست کور'!I3="قبولی مشروط (Conditional)", 11, 10))))</f>
        <v/>
      </c>
      <c r="G3" s="10">
        <f>IF(OR('تست کور'!I3="", 'تست کور'!I3="امتناع درست — قاعده‌اش در این فاز ساخته نشده"), "", IF('تست کور'!I3="قبولی کامل (Pass)", 15, IF(OR('تست کور'!J3="عدم طرح سؤال در سناریوی مبهم", 'تست کور'!J3="طرح سؤال تکمیلی غلط و توهم اطلاعات", 'تست کور'!I3="سؤال تکمیلی نامربوط/توهم", 'تست کور'!I3="سکوت اشتباه در ابهام"), 0, IF(OR('تست کور'!J3="از قلم افتادن بخش دوم در جمله مرکب", 'تست کور'!I3="عدم تفکیک رویدادها"), 3, IF('تست کور'!I3="قبولی مشروط (Conditional)", 11, 8)))))</f>
        <v/>
      </c>
      <c r="H3" s="10">
        <f>IF(C3="", "", C3+D3+E3+F3+G3)</f>
        <v/>
      </c>
      <c r="I3" s="12">
        <f>IF(H3="", "در انتظار آزمون", IF(H3&gt;=85, "قبولی ممتاز (Passed)", IF(H3&gt;=70, "قبولی متوسط (Acceptable)", IF(H3&gt;=50, "نیازمند بازآموزی (Retrain)", "مردود (Failed)"))))</f>
        <v/>
      </c>
      <c r="J3" s="12">
        <f>IF('تست کور'!I3="", "تست نشده", 'تست کور'!I3)</f>
        <v/>
      </c>
      <c r="L3" s="12" t="inlineStr">
        <is>
          <t>۲</t>
        </is>
      </c>
      <c r="M3" s="13" t="inlineStr">
        <is>
          <t>جابجایی یا اشتباه بدهکار/بستانکار</t>
        </is>
      </c>
      <c r="N3" s="14">
        <f>COUNTIF('تست کور'!$J$2:$J$121, M3)</f>
        <v/>
      </c>
      <c r="O3" s="27">
        <f>IF(SUM($N$2:$N$9)=0, 0, N3/SUM($N$2:$N$9))</f>
        <v/>
      </c>
      <c r="P3" s="12" t="inlineStr">
        <is>
          <t>بحرانی (برهم خوردن ترازنامه)</t>
        </is>
      </c>
    </row>
    <row r="4">
      <c r="A4" s="12">
        <f>'تست کور'!A4</f>
        <v/>
      </c>
      <c r="B4" s="12">
        <f>'تست کور'!B4</f>
        <v/>
      </c>
      <c r="C4" s="10">
        <f>IF(OR('تست کور'!I4="", 'تست کور'!I4="امتناع درست — قاعده‌اش در این فاز ساخته نشده"), "", IF('تست کور'!I4="قبولی کامل (Pass)", 25, IF('تست کور'!J4="خطا در تشخیص ماهیت رویداد", 0, IF('تست کور'!I4="قبولی مشروط (Conditional)", 20, 15))))</f>
        <v/>
      </c>
      <c r="D4" s="10">
        <f>IF(OR('تست کور'!I4="", 'تست کور'!I4="امتناع درست — قاعده‌اش در این فاز ساخته نشده"), "", IF('تست کور'!I4="قبولی کامل (Pass)", 25, IF(OR('تست کور'!J4="جابجایی یا اشتباه بدهکار/بستانکار", 'تست کور'!I4="خطا در تشخیص سرفصل"), 0, IF('تست کور'!I4="قبولی مشروط (Conditional)", 18, 10))))</f>
        <v/>
      </c>
      <c r="E4" s="10">
        <f>IF(OR('تست کور'!I4="", 'تست کور'!I4="امتناع درست — قاعده‌اش در این فاز ساخته نشده"), "", IF('تست کور'!I4="قبولی کامل (Pass)", 20, IF(OR('تست کور'!J4="استخراج اشتباه مبلغ یا ارقام", 'تست کور'!I4="خطا در استخراج مبلغ"), 0, IF('تست کور'!I4="قبولی مشروط (Conditional)", 15, 12))))</f>
        <v/>
      </c>
      <c r="F4" s="10">
        <f>IF(OR('تست کور'!I4="", 'تست کور'!I4="امتناع درست — قاعده‌اش در این فاز ساخته نشده"), "", IF('تست کور'!I4="قبولی کامل (Pass)", 15, IF('تست کور'!J4="عدم تشخیص سررسید یا طرف‌حساب", 0, IF('تست کور'!I4="قبولی مشروط (Conditional)", 11, 10))))</f>
        <v/>
      </c>
      <c r="G4" s="10">
        <f>IF(OR('تست کور'!I4="", 'تست کور'!I4="امتناع درست — قاعده‌اش در این فاز ساخته نشده"), "", IF('تست کور'!I4="قبولی کامل (Pass)", 15, IF(OR('تست کور'!J4="عدم طرح سؤال در سناریوی مبهم", 'تست کور'!J4="طرح سؤال تکمیلی غلط و توهم اطلاعات", 'تست کور'!I4="سؤال تکمیلی نامربوط/توهم", 'تست کور'!I4="سکوت اشتباه در ابهام"), 0, IF(OR('تست کور'!J4="از قلم افتادن بخش دوم در جمله مرکب", 'تست کور'!I4="عدم تفکیک رویدادها"), 3, IF('تست کور'!I4="قبولی مشروط (Conditional)", 11, 8)))))</f>
        <v/>
      </c>
      <c r="H4" s="10">
        <f>IF(C4="", "", C4+D4+E4+F4+G4)</f>
        <v/>
      </c>
      <c r="I4" s="12">
        <f>IF(H4="", "در انتظار آزمون", IF(H4&gt;=85, "قبولی ممتاز (Passed)", IF(H4&gt;=70, "قبولی متوسط (Acceptable)", IF(H4&gt;=50, "نیازمند بازآموزی (Retrain)", "مردود (Failed)"))))</f>
        <v/>
      </c>
      <c r="J4" s="12">
        <f>IF('تست کور'!I4="", "تست نشده", 'تست کور'!I4)</f>
        <v/>
      </c>
      <c r="L4" s="12" t="inlineStr">
        <is>
          <t>۳</t>
        </is>
      </c>
      <c r="M4" s="13" t="inlineStr">
        <is>
          <t>استخراج اشتباه مبلغ یا ارقام</t>
        </is>
      </c>
      <c r="N4" s="14">
        <f>COUNTIF('تست کور'!$J$2:$J$121, M4)</f>
        <v/>
      </c>
      <c r="O4" s="27">
        <f>IF(SUM($N$2:$N$9)=0, 0, N4/SUM($N$2:$N$9))</f>
        <v/>
      </c>
      <c r="P4" s="12" t="inlineStr">
        <is>
          <t>بحرانی (مغایرت مالی شدید)</t>
        </is>
      </c>
    </row>
    <row r="5">
      <c r="A5" s="12">
        <f>'تست کور'!A5</f>
        <v/>
      </c>
      <c r="B5" s="12">
        <f>'تست کور'!B5</f>
        <v/>
      </c>
      <c r="C5" s="10">
        <f>IF(OR('تست کور'!I5="", 'تست کور'!I5="امتناع درست — قاعده‌اش در این فاز ساخته نشده"), "", IF('تست کور'!I5="قبولی کامل (Pass)", 25, IF('تست کور'!J5="خطا در تشخیص ماهیت رویداد", 0, IF('تست کور'!I5="قبولی مشروط (Conditional)", 20, 15))))</f>
        <v/>
      </c>
      <c r="D5" s="10">
        <f>IF(OR('تست کور'!I5="", 'تست کور'!I5="امتناع درست — قاعده‌اش در این فاز ساخته نشده"), "", IF('تست کور'!I5="قبولی کامل (Pass)", 25, IF(OR('تست کور'!J5="جابجایی یا اشتباه بدهکار/بستانکار", 'تست کور'!I5="خطا در تشخیص سرفصل"), 0, IF('تست کور'!I5="قبولی مشروط (Conditional)", 18, 10))))</f>
        <v/>
      </c>
      <c r="E5" s="10">
        <f>IF(OR('تست کور'!I5="", 'تست کور'!I5="امتناع درست — قاعده‌اش در این فاز ساخته نشده"), "", IF('تست کور'!I5="قبولی کامل (Pass)", 20, IF(OR('تست کور'!J5="استخراج اشتباه مبلغ یا ارقام", 'تست کور'!I5="خطا در استخراج مبلغ"), 0, IF('تست کور'!I5="قبولی مشروط (Conditional)", 15, 12))))</f>
        <v/>
      </c>
      <c r="F5" s="10">
        <f>IF(OR('تست کور'!I5="", 'تست کور'!I5="امتناع درست — قاعده‌اش در این فاز ساخته نشده"), "", IF('تست کور'!I5="قبولی کامل (Pass)", 15, IF('تست کور'!J5="عدم تشخیص سررسید یا طرف‌حساب", 0, IF('تست کور'!I5="قبولی مشروط (Conditional)", 11, 10))))</f>
        <v/>
      </c>
      <c r="G5" s="10">
        <f>IF(OR('تست کور'!I5="", 'تست کور'!I5="امتناع درست — قاعده‌اش در این فاز ساخته نشده"), "", IF('تست کور'!I5="قبولی کامل (Pass)", 15, IF(OR('تست کور'!J5="عدم طرح سؤال در سناریوی مبهم", 'تست کور'!J5="طرح سؤال تکمیلی غلط و توهم اطلاعات", 'تست کور'!I5="سؤال تکمیلی نامربوط/توهم", 'تست کور'!I5="سکوت اشتباه در ابهام"), 0, IF(OR('تست کور'!J5="از قلم افتادن بخش دوم در جمله مرکب", 'تست کور'!I5="عدم تفکیک رویدادها"), 3, IF('تست کور'!I5="قبولی مشروط (Conditional)", 11, 8)))))</f>
        <v/>
      </c>
      <c r="H5" s="10">
        <f>IF(C5="", "", C5+D5+E5+F5+G5)</f>
        <v/>
      </c>
      <c r="I5" s="12">
        <f>IF(H5="", "در انتظار آزمون", IF(H5&gt;=85, "قبولی ممتاز (Passed)", IF(H5&gt;=70, "قبولی متوسط (Acceptable)", IF(H5&gt;=50, "نیازمند بازآموزی (Retrain)", "مردود (Failed)"))))</f>
        <v/>
      </c>
      <c r="J5" s="12">
        <f>IF('تست کور'!I5="", "تست نشده", 'تست کور'!I5)</f>
        <v/>
      </c>
      <c r="L5" s="12" t="inlineStr">
        <is>
          <t>۴</t>
        </is>
      </c>
      <c r="M5" s="13" t="inlineStr">
        <is>
          <t>از قلم افتادن بخش دوم در جمله مرکب</t>
        </is>
      </c>
      <c r="N5" s="14">
        <f>COUNTIF('تست کور'!$J$2:$J$121, M5)</f>
        <v/>
      </c>
      <c r="O5" s="27">
        <f>IF(SUM($N$2:$N$9)=0, 0, N5/SUM($N$2:$N$9))</f>
        <v/>
      </c>
      <c r="P5" s="12" t="inlineStr">
        <is>
          <t>بالا (تحریف واقعیت معامله)</t>
        </is>
      </c>
    </row>
    <row r="6">
      <c r="A6" s="12">
        <f>'تست کور'!A6</f>
        <v/>
      </c>
      <c r="B6" s="12">
        <f>'تست کور'!B6</f>
        <v/>
      </c>
      <c r="C6" s="10">
        <f>IF(OR('تست کور'!I6="", 'تست کور'!I6="امتناع درست — قاعده‌اش در این فاز ساخته نشده"), "", IF('تست کور'!I6="قبولی کامل (Pass)", 25, IF('تست کور'!J6="خطا در تشخیص ماهیت رویداد", 0, IF('تست کور'!I6="قبولی مشروط (Conditional)", 20, 15))))</f>
        <v/>
      </c>
      <c r="D6" s="10">
        <f>IF(OR('تست کور'!I6="", 'تست کور'!I6="امتناع درست — قاعده‌اش در این فاز ساخته نشده"), "", IF('تست کور'!I6="قبولی کامل (Pass)", 25, IF(OR('تست کور'!J6="جابجایی یا اشتباه بدهکار/بستانکار", 'تست کور'!I6="خطا در تشخیص سرفصل"), 0, IF('تست کور'!I6="قبولی مشروط (Conditional)", 18, 10))))</f>
        <v/>
      </c>
      <c r="E6" s="10">
        <f>IF(OR('تست کور'!I6="", 'تست کور'!I6="امتناع درست — قاعده‌اش در این فاز ساخته نشده"), "", IF('تست کور'!I6="قبولی کامل (Pass)", 20, IF(OR('تست کور'!J6="استخراج اشتباه مبلغ یا ارقام", 'تست کور'!I6="خطا در استخراج مبلغ"), 0, IF('تست کور'!I6="قبولی مشروط (Conditional)", 15, 12))))</f>
        <v/>
      </c>
      <c r="F6" s="10">
        <f>IF(OR('تست کور'!I6="", 'تست کور'!I6="امتناع درست — قاعده‌اش در این فاز ساخته نشده"), "", IF('تست کور'!I6="قبولی کامل (Pass)", 15, IF('تست کور'!J6="عدم تشخیص سررسید یا طرف‌حساب", 0, IF('تست کور'!I6="قبولی مشروط (Conditional)", 11, 10))))</f>
        <v/>
      </c>
      <c r="G6" s="10">
        <f>IF(OR('تست کور'!I6="", 'تست کور'!I6="امتناع درست — قاعده‌اش در این فاز ساخته نشده"), "", IF('تست کور'!I6="قبولی کامل (Pass)", 15, IF(OR('تست کور'!J6="عدم طرح سؤال در سناریوی مبهم", 'تست کور'!J6="طرح سؤال تکمیلی غلط و توهم اطلاعات", 'تست کور'!I6="سؤال تکمیلی نامربوط/توهم", 'تست کور'!I6="سکوت اشتباه در ابهام"), 0, IF(OR('تست کور'!J6="از قلم افتادن بخش دوم در جمله مرکب", 'تست کور'!I6="عدم تفکیک رویدادها"), 3, IF('تست کور'!I6="قبولی مشروط (Conditional)", 11, 8)))))</f>
        <v/>
      </c>
      <c r="H6" s="10">
        <f>IF(C6="", "", C6+D6+E6+F6+G6)</f>
        <v/>
      </c>
      <c r="I6" s="12">
        <f>IF(H6="", "در انتظار آزمون", IF(H6&gt;=85, "قبولی ممتاز (Passed)", IF(H6&gt;=70, "قبولی متوسط (Acceptable)", IF(H6&gt;=50, "نیازمند بازآموزی (Retrain)", "مردود (Failed)"))))</f>
        <v/>
      </c>
      <c r="J6" s="12">
        <f>IF('تست کور'!I6="", "تست نشده", 'تست کور'!I6)</f>
        <v/>
      </c>
      <c r="L6" s="12" t="inlineStr">
        <is>
          <t>۵</t>
        </is>
      </c>
      <c r="M6" s="13" t="inlineStr">
        <is>
          <t>عدم طرح سؤال در سناریوی مبهم</t>
        </is>
      </c>
      <c r="N6" s="14">
        <f>COUNTIF('تست کور'!$J$2:$J$121, M6)</f>
        <v/>
      </c>
      <c r="O6" s="27">
        <f>IF(SUM($N$2:$N$9)=0, 0, N6/SUM($N$2:$N$9))</f>
        <v/>
      </c>
      <c r="P6" s="12" t="inlineStr">
        <is>
          <t>بالا (ثبت خودسرانه بدون مدرک)</t>
        </is>
      </c>
    </row>
    <row r="7">
      <c r="A7" s="12">
        <f>'تست کور'!A7</f>
        <v/>
      </c>
      <c r="B7" s="12">
        <f>'تست کور'!B7</f>
        <v/>
      </c>
      <c r="C7" s="10">
        <f>IF(OR('تست کور'!I7="", 'تست کور'!I7="امتناع درست — قاعده‌اش در این فاز ساخته نشده"), "", IF('تست کور'!I7="قبولی کامل (Pass)", 25, IF('تست کور'!J7="خطا در تشخیص ماهیت رویداد", 0, IF('تست کور'!I7="قبولی مشروط (Conditional)", 20, 15))))</f>
        <v/>
      </c>
      <c r="D7" s="10">
        <f>IF(OR('تست کور'!I7="", 'تست کور'!I7="امتناع درست — قاعده‌اش در این فاز ساخته نشده"), "", IF('تست کور'!I7="قبولی کامل (Pass)", 25, IF(OR('تست کور'!J7="جابجایی یا اشتباه بدهکار/بستانکار", 'تست کور'!I7="خطا در تشخیص سرفصل"), 0, IF('تست کور'!I7="قبولی مشروط (Conditional)", 18, 10))))</f>
        <v/>
      </c>
      <c r="E7" s="10">
        <f>IF(OR('تست کور'!I7="", 'تست کور'!I7="امتناع درست — قاعده‌اش در این فاز ساخته نشده"), "", IF('تست کور'!I7="قبولی کامل (Pass)", 20, IF(OR('تست کور'!J7="استخراج اشتباه مبلغ یا ارقام", 'تست کور'!I7="خطا در استخراج مبلغ"), 0, IF('تست کور'!I7="قبولی مشروط (Conditional)", 15, 12))))</f>
        <v/>
      </c>
      <c r="F7" s="10">
        <f>IF(OR('تست کور'!I7="", 'تست کور'!I7="امتناع درست — قاعده‌اش در این فاز ساخته نشده"), "", IF('تست کور'!I7="قبولی کامل (Pass)", 15, IF('تست کور'!J7="عدم تشخیص سررسید یا طرف‌حساب", 0, IF('تست کور'!I7="قبولی مشروط (Conditional)", 11, 10))))</f>
        <v/>
      </c>
      <c r="G7" s="10">
        <f>IF(OR('تست کور'!I7="", 'تست کور'!I7="امتناع درست — قاعده‌اش در این فاز ساخته نشده"), "", IF('تست کور'!I7="قبولی کامل (Pass)", 15, IF(OR('تست کور'!J7="عدم طرح سؤال در سناریوی مبهم", 'تست کور'!J7="طرح سؤال تکمیلی غلط و توهم اطلاعات", 'تست کور'!I7="سؤال تکمیلی نامربوط/توهم", 'تست کور'!I7="سکوت اشتباه در ابهام"), 0, IF(OR('تست کور'!J7="از قلم افتادن بخش دوم در جمله مرکب", 'تست کور'!I7="عدم تفکیک رویدادها"), 3, IF('تست کور'!I7="قبولی مشروط (Conditional)", 11, 8)))))</f>
        <v/>
      </c>
      <c r="H7" s="10">
        <f>IF(C7="", "", C7+D7+E7+F7+G7)</f>
        <v/>
      </c>
      <c r="I7" s="12">
        <f>IF(H7="", "در انتظار آزمون", IF(H7&gt;=85, "قبولی ممتاز (Passed)", IF(H7&gt;=70, "قبولی متوسط (Acceptable)", IF(H7&gt;=50, "نیازمند بازآموزی (Retrain)", "مردود (Failed)"))))</f>
        <v/>
      </c>
      <c r="J7" s="12">
        <f>IF('تست کور'!I7="", "تست نشده", 'تست کور'!I7)</f>
        <v/>
      </c>
      <c r="L7" s="12" t="inlineStr">
        <is>
          <t>۶</t>
        </is>
      </c>
      <c r="M7" s="13" t="inlineStr">
        <is>
          <t>طرح سؤال تکمیلی غلط و توهم اطلاعات</t>
        </is>
      </c>
      <c r="N7" s="14">
        <f>COUNTIF('تست کور'!$J$2:$J$121, M7)</f>
        <v/>
      </c>
      <c r="O7" s="27">
        <f>IF(SUM($N$2:$N$9)=0, 0, N7/SUM($N$2:$N$9))</f>
        <v/>
      </c>
      <c r="P7" s="12" t="inlineStr">
        <is>
          <t>متوسط (تضعیف تجربه کاربری)</t>
        </is>
      </c>
    </row>
    <row r="8">
      <c r="A8" s="12">
        <f>'تست کور'!A8</f>
        <v/>
      </c>
      <c r="B8" s="12">
        <f>'تست کور'!B8</f>
        <v/>
      </c>
      <c r="C8" s="10">
        <f>IF(OR('تست کور'!I8="", 'تست کور'!I8="امتناع درست — قاعده‌اش در این فاز ساخته نشده"), "", IF('تست کور'!I8="قبولی کامل (Pass)", 25, IF('تست کور'!J8="خطا در تشخیص ماهیت رویداد", 0, IF('تست کور'!I8="قبولی مشروط (Conditional)", 20, 15))))</f>
        <v/>
      </c>
      <c r="D8" s="10">
        <f>IF(OR('تست کور'!I8="", 'تست کور'!I8="امتناع درست — قاعده‌اش در این فاز ساخته نشده"), "", IF('تست کور'!I8="قبولی کامل (Pass)", 25, IF(OR('تست کور'!J8="جابجایی یا اشتباه بدهکار/بستانکار", 'تست کور'!I8="خطا در تشخیص سرفصل"), 0, IF('تست کور'!I8="قبولی مشروط (Conditional)", 18, 10))))</f>
        <v/>
      </c>
      <c r="E8" s="10">
        <f>IF(OR('تست کور'!I8="", 'تست کور'!I8="امتناع درست — قاعده‌اش در این فاز ساخته نشده"), "", IF('تست کور'!I8="قبولی کامل (Pass)", 20, IF(OR('تست کور'!J8="استخراج اشتباه مبلغ یا ارقام", 'تست کور'!I8="خطا در استخراج مبلغ"), 0, IF('تست کور'!I8="قبولی مشروط (Conditional)", 15, 12))))</f>
        <v/>
      </c>
      <c r="F8" s="10">
        <f>IF(OR('تست کور'!I8="", 'تست کور'!I8="امتناع درست — قاعده‌اش در این فاز ساخته نشده"), "", IF('تست کور'!I8="قبولی کامل (Pass)", 15, IF('تست کور'!J8="عدم تشخیص سررسید یا طرف‌حساب", 0, IF('تست کور'!I8="قبولی مشروط (Conditional)", 11, 10))))</f>
        <v/>
      </c>
      <c r="G8" s="10">
        <f>IF(OR('تست کور'!I8="", 'تست کور'!I8="امتناع درست — قاعده‌اش در این فاز ساخته نشده"), "", IF('تست کور'!I8="قبولی کامل (Pass)", 15, IF(OR('تست کور'!J8="عدم طرح سؤال در سناریوی مبهم", 'تست کور'!J8="طرح سؤال تکمیلی غلط و توهم اطلاعات", 'تست کور'!I8="سؤال تکمیلی نامربوط/توهم", 'تست کور'!I8="سکوت اشتباه در ابهام"), 0, IF(OR('تست کور'!J8="از قلم افتادن بخش دوم در جمله مرکب", 'تست کور'!I8="عدم تفکیک رویدادها"), 3, IF('تست کور'!I8="قبولی مشروط (Conditional)", 11, 8)))))</f>
        <v/>
      </c>
      <c r="H8" s="10">
        <f>IF(C8="", "", C8+D8+E8+F8+G8)</f>
        <v/>
      </c>
      <c r="I8" s="12">
        <f>IF(H8="", "در انتظار آزمون", IF(H8&gt;=85, "قبولی ممتاز (Passed)", IF(H8&gt;=70, "قبولی متوسط (Acceptable)", IF(H8&gt;=50, "نیازمند بازآموزی (Retrain)", "مردود (Failed)"))))</f>
        <v/>
      </c>
      <c r="J8" s="12">
        <f>IF('تست کور'!I8="", "تست نشده", 'تست کور'!I8)</f>
        <v/>
      </c>
      <c r="L8" s="12" t="inlineStr">
        <is>
          <t>۷</t>
        </is>
      </c>
      <c r="M8" s="13" t="inlineStr">
        <is>
          <t>عدم تشخیص سررسید یا طرف‌حساب</t>
        </is>
      </c>
      <c r="N8" s="14">
        <f>COUNTIF('تست کور'!$J$2:$J$121, M8)</f>
        <v/>
      </c>
      <c r="O8" s="27">
        <f>IF(SUM($N$2:$N$9)=0, 0, N8/SUM($N$2:$N$9))</f>
        <v/>
      </c>
      <c r="P8" s="12" t="inlineStr">
        <is>
          <t>بالا (مشکل در وصول مطالبات)</t>
        </is>
      </c>
    </row>
    <row r="9">
      <c r="A9" s="12">
        <f>'تست کور'!A9</f>
        <v/>
      </c>
      <c r="B9" s="12">
        <f>'تست کور'!B9</f>
        <v/>
      </c>
      <c r="C9" s="10">
        <f>IF(OR('تست کور'!I9="", 'تست کور'!I9="امتناع درست — قاعده‌اش در این فاز ساخته نشده"), "", IF('تست کور'!I9="قبولی کامل (Pass)", 25, IF('تست کور'!J9="خطا در تشخیص ماهیت رویداد", 0, IF('تست کور'!I9="قبولی مشروط (Conditional)", 20, 15))))</f>
        <v/>
      </c>
      <c r="D9" s="10">
        <f>IF(OR('تست کور'!I9="", 'تست کور'!I9="امتناع درست — قاعده‌اش در این فاز ساخته نشده"), "", IF('تست کور'!I9="قبولی کامل (Pass)", 25, IF(OR('تست کور'!J9="جابجایی یا اشتباه بدهکار/بستانکار", 'تست کور'!I9="خطا در تشخیص سرفصل"), 0, IF('تست کور'!I9="قبولی مشروط (Conditional)", 18, 10))))</f>
        <v/>
      </c>
      <c r="E9" s="10">
        <f>IF(OR('تست کور'!I9="", 'تست کور'!I9="امتناع درست — قاعده‌اش در این فاز ساخته نشده"), "", IF('تست کور'!I9="قبولی کامل (Pass)", 20, IF(OR('تست کور'!J9="استخراج اشتباه مبلغ یا ارقام", 'تست کور'!I9="خطا در استخراج مبلغ"), 0, IF('تست کور'!I9="قبولی مشروط (Conditional)", 15, 12))))</f>
        <v/>
      </c>
      <c r="F9" s="10">
        <f>IF(OR('تست کور'!I9="", 'تست کور'!I9="امتناع درست — قاعده‌اش در این فاز ساخته نشده"), "", IF('تست کور'!I9="قبولی کامل (Pass)", 15, IF('تست کور'!J9="عدم تشخیص سررسید یا طرف‌حساب", 0, IF('تست کور'!I9="قبولی مشروط (Conditional)", 11, 10))))</f>
        <v/>
      </c>
      <c r="G9" s="10">
        <f>IF(OR('تست کور'!I9="", 'تست کور'!I9="امتناع درست — قاعده‌اش در این فاز ساخته نشده"), "", IF('تست کور'!I9="قبولی کامل (Pass)", 15, IF(OR('تست کور'!J9="عدم طرح سؤال در سناریوی مبهم", 'تست کور'!J9="طرح سؤال تکمیلی غلط و توهم اطلاعات", 'تست کور'!I9="سؤال تکمیلی نامربوط/توهم", 'تست کور'!I9="سکوت اشتباه در ابهام"), 0, IF(OR('تست کور'!J9="از قلم افتادن بخش دوم در جمله مرکب", 'تست کور'!I9="عدم تفکیک رویدادها"), 3, IF('تست کور'!I9="قبولی مشروط (Conditional)", 11, 8)))))</f>
        <v/>
      </c>
      <c r="H9" s="10">
        <f>IF(C9="", "", C9+D9+E9+F9+G9)</f>
        <v/>
      </c>
      <c r="I9" s="12">
        <f>IF(H9="", "در انتظار آزمون", IF(H9&gt;=85, "قبولی ممتاز (Passed)", IF(H9&gt;=70, "قبولی متوسط (Acceptable)", IF(H9&gt;=50, "نیازمند بازآموزی (Retrain)", "مردود (Failed)"))))</f>
        <v/>
      </c>
      <c r="J9" s="12">
        <f>IF('تست کور'!I9="", "تست نشده", 'تست کور'!I9)</f>
        <v/>
      </c>
      <c r="L9" s="12" t="inlineStr">
        <is>
          <t>۸</t>
        </is>
      </c>
      <c r="M9" s="13" t="inlineStr">
        <is>
          <t>عدم رعایت کنترل‌های داخلی و مالیاتی</t>
        </is>
      </c>
      <c r="N9" s="14">
        <f>COUNTIF('تست کور'!$J$2:$J$121, M9)</f>
        <v/>
      </c>
      <c r="O9" s="27">
        <f>IF(SUM($N$2:$N$9)=0, 0, N9/SUM($N$2:$N$9))</f>
        <v/>
      </c>
      <c r="P9" s="12" t="inlineStr">
        <is>
          <t>بسیار بالا (جرایم ماده ۱۶۹ و مودیان)</t>
        </is>
      </c>
    </row>
    <row r="10">
      <c r="A10" s="12">
        <f>'تست کور'!A10</f>
        <v/>
      </c>
      <c r="B10" s="12">
        <f>'تست کور'!B10</f>
        <v/>
      </c>
      <c r="C10" s="10">
        <f>IF(OR('تست کور'!I10="", 'تست کور'!I10="امتناع درست — قاعده‌اش در این فاز ساخته نشده"), "", IF('تست کور'!I10="قبولی کامل (Pass)", 25, IF('تست کور'!J10="خطا در تشخیص ماهیت رویداد", 0, IF('تست کور'!I10="قبولی مشروط (Conditional)", 20, 15))))</f>
        <v/>
      </c>
      <c r="D10" s="10">
        <f>IF(OR('تست کور'!I10="", 'تست کور'!I10="امتناع درست — قاعده‌اش در این فاز ساخته نشده"), "", IF('تست کور'!I10="قبولی کامل (Pass)", 25, IF(OR('تست کور'!J10="جابجایی یا اشتباه بدهکار/بستانکار", 'تست کور'!I10="خطا در تشخیص سرفصل"), 0, IF('تست کور'!I10="قبولی مشروط (Conditional)", 18, 10))))</f>
        <v/>
      </c>
      <c r="E10" s="10">
        <f>IF(OR('تست کور'!I10="", 'تست کور'!I10="امتناع درست — قاعده‌اش در این فاز ساخته نشده"), "", IF('تست کور'!I10="قبولی کامل (Pass)", 20, IF(OR('تست کور'!J10="استخراج اشتباه مبلغ یا ارقام", 'تست کور'!I10="خطا در استخراج مبلغ"), 0, IF('تست کور'!I10="قبولی مشروط (Conditional)", 15, 12))))</f>
        <v/>
      </c>
      <c r="F10" s="10">
        <f>IF(OR('تست کور'!I10="", 'تست کور'!I10="امتناع درست — قاعده‌اش در این فاز ساخته نشده"), "", IF('تست کور'!I10="قبولی کامل (Pass)", 15, IF('تست کور'!J10="عدم تشخیص سررسید یا طرف‌حساب", 0, IF('تست کور'!I10="قبولی مشروط (Conditional)", 11, 10))))</f>
        <v/>
      </c>
      <c r="G10" s="10">
        <f>IF(OR('تست کور'!I10="", 'تست کور'!I10="امتناع درست — قاعده‌اش در این فاز ساخته نشده"), "", IF('تست کور'!I10="قبولی کامل (Pass)", 15, IF(OR('تست کور'!J10="عدم طرح سؤال در سناریوی مبهم", 'تست کور'!J10="طرح سؤال تکمیلی غلط و توهم اطلاعات", 'تست کور'!I10="سؤال تکمیلی نامربوط/توهم", 'تست کور'!I10="سکوت اشتباه در ابهام"), 0, IF(OR('تست کور'!J10="از قلم افتادن بخش دوم در جمله مرکب", 'تست کور'!I10="عدم تفکیک رویدادها"), 3, IF('تست کور'!I10="قبولی مشروط (Conditional)", 11, 8)))))</f>
        <v/>
      </c>
      <c r="H10" s="10">
        <f>IF(C10="", "", C10+D10+E10+F10+G10)</f>
        <v/>
      </c>
      <c r="I10" s="12">
        <f>IF(H10="", "در انتظار آزمون", IF(H10&gt;=85, "قبولی ممتاز (Passed)", IF(H10&gt;=70, "قبولی متوسط (Acceptable)", IF(H10&gt;=50, "نیازمند بازآموزی (Retrain)", "مردود (Failed)"))))</f>
        <v/>
      </c>
      <c r="J10" s="12">
        <f>IF('تست کور'!I10="", "تست نشده", 'تست کور'!I10)</f>
        <v/>
      </c>
      <c r="L10" s="44" t="inlineStr">
        <is>
          <t>-</t>
        </is>
      </c>
      <c r="M10" s="41" t="inlineStr">
        <is>
          <t>مجموع خطاهای شناسایی‌شده</t>
        </is>
      </c>
      <c r="N10" s="42">
        <f>SUM(N2:N9)</f>
        <v/>
      </c>
      <c r="O10" s="43">
        <f>SUM(O2:O9)</f>
        <v/>
      </c>
      <c r="P10" s="44" t="inlineStr">
        <is>
          <t>شاخص قابلیت اطمینان سیستم</t>
        </is>
      </c>
    </row>
    <row r="11">
      <c r="A11" s="12">
        <f>'تست کور'!A11</f>
        <v/>
      </c>
      <c r="B11" s="12">
        <f>'تست کور'!B11</f>
        <v/>
      </c>
      <c r="C11" s="10">
        <f>IF(OR('تست کور'!I11="", 'تست کور'!I11="امتناع درست — قاعده‌اش در این فاز ساخته نشده"), "", IF('تست کور'!I11="قبولی کامل (Pass)", 25, IF('تست کور'!J11="خطا در تشخیص ماهیت رویداد", 0, IF('تست کور'!I11="قبولی مشروط (Conditional)", 20, 15))))</f>
        <v/>
      </c>
      <c r="D11" s="10">
        <f>IF(OR('تست کور'!I11="", 'تست کور'!I11="امتناع درست — قاعده‌اش در این فاز ساخته نشده"), "", IF('تست کور'!I11="قبولی کامل (Pass)", 25, IF(OR('تست کور'!J11="جابجایی یا اشتباه بدهکار/بستانکار", 'تست کور'!I11="خطا در تشخیص سرفصل"), 0, IF('تست کور'!I11="قبولی مشروط (Conditional)", 18, 10))))</f>
        <v/>
      </c>
      <c r="E11" s="10">
        <f>IF(OR('تست کور'!I11="", 'تست کور'!I11="امتناع درست — قاعده‌اش در این فاز ساخته نشده"), "", IF('تست کور'!I11="قبولی کامل (Pass)", 20, IF(OR('تست کور'!J11="استخراج اشتباه مبلغ یا ارقام", 'تست کور'!I11="خطا در استخراج مبلغ"), 0, IF('تست کور'!I11="قبولی مشروط (Conditional)", 15, 12))))</f>
        <v/>
      </c>
      <c r="F11" s="10">
        <f>IF(OR('تست کور'!I11="", 'تست کور'!I11="امتناع درست — قاعده‌اش در این فاز ساخته نشده"), "", IF('تست کور'!I11="قبولی کامل (Pass)", 15, IF('تست کور'!J11="عدم تشخیص سررسید یا طرف‌حساب", 0, IF('تست کور'!I11="قبولی مشروط (Conditional)", 11, 10))))</f>
        <v/>
      </c>
      <c r="G11" s="10">
        <f>IF(OR('تست کور'!I11="", 'تست کور'!I11="امتناع درست — قاعده‌اش در این فاز ساخته نشده"), "", IF('تست کور'!I11="قبولی کامل (Pass)", 15, IF(OR('تست کور'!J11="عدم طرح سؤال در سناریوی مبهم", 'تست کور'!J11="طرح سؤال تکمیلی غلط و توهم اطلاعات", 'تست کور'!I11="سؤال تکمیلی نامربوط/توهم", 'تست کور'!I11="سکوت اشتباه در ابهام"), 0, IF(OR('تست کور'!J11="از قلم افتادن بخش دوم در جمله مرکب", 'تست کور'!I11="عدم تفکیک رویدادها"), 3, IF('تست کور'!I11="قبولی مشروط (Conditional)", 11, 8)))))</f>
        <v/>
      </c>
      <c r="H11" s="10">
        <f>IF(C11="", "", C11+D11+E11+F11+G11)</f>
        <v/>
      </c>
      <c r="I11" s="12">
        <f>IF(H11="", "در انتظار آزمون", IF(H11&gt;=85, "قبولی ممتاز (Passed)", IF(H11&gt;=70, "قبولی متوسط (Acceptable)", IF(H11&gt;=50, "نیازمند بازآموزی (Retrain)", "مردود (Failed)"))))</f>
        <v/>
      </c>
      <c r="J11" s="12">
        <f>IF('تست کور'!I11="", "تست نشده", 'تست کور'!I11)</f>
        <v/>
      </c>
      <c r="L11" s="44" t="inlineStr">
        <is>
          <t>-</t>
        </is>
      </c>
      <c r="M11" s="41" t="inlineStr">
        <is>
          <t>نرخ سناریوهای بدون خطا (Zero-Defect)</t>
        </is>
      </c>
      <c r="N11" s="42">
        <f>COUNTIF('تست کور'!$J$2:$J$121, "بدون خطا")</f>
        <v/>
      </c>
      <c r="O11" s="43">
        <f>IF(COUNTA('تست کور'!$I$2:$I$121)=0, 0, N11/COUNTA('تست کور'!$I$2:$I$121))</f>
        <v/>
      </c>
      <c r="P11" s="44" t="inlineStr">
        <is>
          <t>هدف کیفی: بالای ۹۰٪</t>
        </is>
      </c>
    </row>
    <row r="12">
      <c r="A12" s="12">
        <f>'تست کور'!A12</f>
        <v/>
      </c>
      <c r="B12" s="12">
        <f>'تست کور'!B12</f>
        <v/>
      </c>
      <c r="C12" s="10">
        <f>IF(OR('تست کور'!I12="", 'تست کور'!I12="امتناع درست — قاعده‌اش در این فاز ساخته نشده"), "", IF('تست کور'!I12="قبولی کامل (Pass)", 25, IF('تست کور'!J12="خطا در تشخیص ماهیت رویداد", 0, IF('تست کور'!I12="قبولی مشروط (Conditional)", 20, 15))))</f>
        <v/>
      </c>
      <c r="D12" s="10">
        <f>IF(OR('تست کور'!I12="", 'تست کور'!I12="امتناع درست — قاعده‌اش در این فاز ساخته نشده"), "", IF('تست کور'!I12="قبولی کامل (Pass)", 25, IF(OR('تست کور'!J12="جابجایی یا اشتباه بدهکار/بستانکار", 'تست کور'!I12="خطا در تشخیص سرفصل"), 0, IF('تست کور'!I12="قبولی مشروط (Conditional)", 18, 10))))</f>
        <v/>
      </c>
      <c r="E12" s="10">
        <f>IF(OR('تست کور'!I12="", 'تست کور'!I12="امتناع درست — قاعده‌اش در این فاز ساخته نشده"), "", IF('تست کور'!I12="قبولی کامل (Pass)", 20, IF(OR('تست کور'!J12="استخراج اشتباه مبلغ یا ارقام", 'تست کور'!I12="خطا در استخراج مبلغ"), 0, IF('تست کور'!I12="قبولی مشروط (Conditional)", 15, 12))))</f>
        <v/>
      </c>
      <c r="F12" s="10">
        <f>IF(OR('تست کور'!I12="", 'تست کور'!I12="امتناع درست — قاعده‌اش در این فاز ساخته نشده"), "", IF('تست کور'!I12="قبولی کامل (Pass)", 15, IF('تست کور'!J12="عدم تشخیص سررسید یا طرف‌حساب", 0, IF('تست کور'!I12="قبولی مشروط (Conditional)", 11, 10))))</f>
        <v/>
      </c>
      <c r="G12" s="10">
        <f>IF(OR('تست کور'!I12="", 'تست کور'!I12="امتناع درست — قاعده‌اش در این فاز ساخته نشده"), "", IF('تست کور'!I12="قبولی کامل (Pass)", 15, IF(OR('تست کور'!J12="عدم طرح سؤال در سناریوی مبهم", 'تست کور'!J12="طرح سؤال تکمیلی غلط و توهم اطلاعات", 'تست کور'!I12="سؤال تکمیلی نامربوط/توهم", 'تست کور'!I12="سکوت اشتباه در ابهام"), 0, IF(OR('تست کور'!J12="از قلم افتادن بخش دوم در جمله مرکب", 'تست کور'!I12="عدم تفکیک رویدادها"), 3, IF('تست کور'!I12="قبولی مشروط (Conditional)", 11, 8)))))</f>
        <v/>
      </c>
      <c r="H12" s="10">
        <f>IF(C12="", "", C12+D12+E12+F12+G12)</f>
        <v/>
      </c>
      <c r="I12" s="12">
        <f>IF(H12="", "در انتظار آزمون", IF(H12&gt;=85, "قبولی ممتاز (Passed)", IF(H12&gt;=70, "قبولی متوسط (Acceptable)", IF(H12&gt;=50, "نیازمند بازآموزی (Retrain)", "مردود (Failed)"))))</f>
        <v/>
      </c>
      <c r="J12" s="12">
        <f>IF('تست کور'!I12="", "تست نشده", 'تست کور'!I12)</f>
        <v/>
      </c>
    </row>
    <row r="13">
      <c r="A13" s="12">
        <f>'تست کور'!A13</f>
        <v/>
      </c>
      <c r="B13" s="12">
        <f>'تست کور'!B13</f>
        <v/>
      </c>
      <c r="C13" s="10">
        <f>IF(OR('تست کور'!I13="", 'تست کور'!I13="امتناع درست — قاعده‌اش در این فاز ساخته نشده"), "", IF('تست کور'!I13="قبولی کامل (Pass)", 25, IF('تست کور'!J13="خطا در تشخیص ماهیت رویداد", 0, IF('تست کور'!I13="قبولی مشروط (Conditional)", 20, 15))))</f>
        <v/>
      </c>
      <c r="D13" s="10">
        <f>IF(OR('تست کور'!I13="", 'تست کور'!I13="امتناع درست — قاعده‌اش در این فاز ساخته نشده"), "", IF('تست کور'!I13="قبولی کامل (Pass)", 25, IF(OR('تست کور'!J13="جابجایی یا اشتباه بدهکار/بستانکار", 'تست کور'!I13="خطا در تشخیص سرفصل"), 0, IF('تست کور'!I13="قبولی مشروط (Conditional)", 18, 10))))</f>
        <v/>
      </c>
      <c r="E13" s="10">
        <f>IF(OR('تست کور'!I13="", 'تست کور'!I13="امتناع درست — قاعده‌اش در این فاز ساخته نشده"), "", IF('تست کور'!I13="قبولی کامل (Pass)", 20, IF(OR('تست کور'!J13="استخراج اشتباه مبلغ یا ارقام", 'تست کور'!I13="خطا در استخراج مبلغ"), 0, IF('تست کور'!I13="قبولی مشروط (Conditional)", 15, 12))))</f>
        <v/>
      </c>
      <c r="F13" s="10">
        <f>IF(OR('تست کور'!I13="", 'تست کور'!I13="امتناع درست — قاعده‌اش در این فاز ساخته نشده"), "", IF('تست کور'!I13="قبولی کامل (Pass)", 15, IF('تست کور'!J13="عدم تشخیص سررسید یا طرف‌حساب", 0, IF('تست کور'!I13="قبولی مشروط (Conditional)", 11, 10))))</f>
        <v/>
      </c>
      <c r="G13" s="10">
        <f>IF(OR('تست کور'!I13="", 'تست کور'!I13="امتناع درست — قاعده‌اش در این فاز ساخته نشده"), "", IF('تست کور'!I13="قبولی کامل (Pass)", 15, IF(OR('تست کور'!J13="عدم طرح سؤال در سناریوی مبهم", 'تست کور'!J13="طرح سؤال تکمیلی غلط و توهم اطلاعات", 'تست کور'!I13="سؤال تکمیلی نامربوط/توهم", 'تست کور'!I13="سکوت اشتباه در ابهام"), 0, IF(OR('تست کور'!J13="از قلم افتادن بخش دوم در جمله مرکب", 'تست کور'!I13="عدم تفکیک رویدادها"), 3, IF('تست کور'!I13="قبولی مشروط (Conditional)", 11, 8)))))</f>
        <v/>
      </c>
      <c r="H13" s="10">
        <f>IF(C13="", "", C13+D13+E13+F13+G13)</f>
        <v/>
      </c>
      <c r="I13" s="12">
        <f>IF(H13="", "در انتظار آزمون", IF(H13&gt;=85, "قبولی ممتاز (Passed)", IF(H13&gt;=70, "قبولی متوسط (Acceptable)", IF(H13&gt;=50, "نیازمند بازآموزی (Retrain)", "مردود (Failed)"))))</f>
        <v/>
      </c>
      <c r="J13" s="12">
        <f>IF('تست کور'!I13="", "تست نشده", 'تست کور'!I13)</f>
        <v/>
      </c>
    </row>
    <row r="14">
      <c r="A14" s="12">
        <f>'تست کور'!A14</f>
        <v/>
      </c>
      <c r="B14" s="12">
        <f>'تست کور'!B14</f>
        <v/>
      </c>
      <c r="C14" s="10">
        <f>IF(OR('تست کور'!I14="", 'تست کور'!I14="امتناع درست — قاعده‌اش در این فاز ساخته نشده"), "", IF('تست کور'!I14="قبولی کامل (Pass)", 25, IF('تست کور'!J14="خطا در تشخیص ماهیت رویداد", 0, IF('تست کور'!I14="قبولی مشروط (Conditional)", 20, 15))))</f>
        <v/>
      </c>
      <c r="D14" s="10">
        <f>IF(OR('تست کور'!I14="", 'تست کور'!I14="امتناع درست — قاعده‌اش در این فاز ساخته نشده"), "", IF('تست کور'!I14="قبولی کامل (Pass)", 25, IF(OR('تست کور'!J14="جابجایی یا اشتباه بدهکار/بستانکار", 'تست کور'!I14="خطا در تشخیص سرفصل"), 0, IF('تست کور'!I14="قبولی مشروط (Conditional)", 18, 10))))</f>
        <v/>
      </c>
      <c r="E14" s="10">
        <f>IF(OR('تست کور'!I14="", 'تست کور'!I14="امتناع درست — قاعده‌اش در این فاز ساخته نشده"), "", IF('تست کور'!I14="قبولی کامل (Pass)", 20, IF(OR('تست کور'!J14="استخراج اشتباه مبلغ یا ارقام", 'تست کور'!I14="خطا در استخراج مبلغ"), 0, IF('تست کور'!I14="قبولی مشروط (Conditional)", 15, 12))))</f>
        <v/>
      </c>
      <c r="F14" s="10">
        <f>IF(OR('تست کور'!I14="", 'تست کور'!I14="امتناع درست — قاعده‌اش در این فاز ساخته نشده"), "", IF('تست کور'!I14="قبولی کامل (Pass)", 15, IF('تست کور'!J14="عدم تشخیص سررسید یا طرف‌حساب", 0, IF('تست کور'!I14="قبولی مشروط (Conditional)", 11, 10))))</f>
        <v/>
      </c>
      <c r="G14" s="10">
        <f>IF(OR('تست کور'!I14="", 'تست کور'!I14="امتناع درست — قاعده‌اش در این فاز ساخته نشده"), "", IF('تست کور'!I14="قبولی کامل (Pass)", 15, IF(OR('تست کور'!J14="عدم طرح سؤال در سناریوی مبهم", 'تست کور'!J14="طرح سؤال تکمیلی غلط و توهم اطلاعات", 'تست کور'!I14="سؤال تکمیلی نامربوط/توهم", 'تست کور'!I14="سکوت اشتباه در ابهام"), 0, IF(OR('تست کور'!J14="از قلم افتادن بخش دوم در جمله مرکب", 'تست کور'!I14="عدم تفکیک رویدادها"), 3, IF('تست کور'!I14="قبولی مشروط (Conditional)", 11, 8)))))</f>
        <v/>
      </c>
      <c r="H14" s="10">
        <f>IF(C14="", "", C14+D14+E14+F14+G14)</f>
        <v/>
      </c>
      <c r="I14" s="12">
        <f>IF(H14="", "در انتظار آزمون", IF(H14&gt;=85, "قبولی ممتاز (Passed)", IF(H14&gt;=70, "قبولی متوسط (Acceptable)", IF(H14&gt;=50, "نیازمند بازآموزی (Retrain)", "مردود (Failed)"))))</f>
        <v/>
      </c>
      <c r="J14" s="12">
        <f>IF('تست کور'!I14="", "تست نشده", 'تست کور'!I14)</f>
        <v/>
      </c>
    </row>
    <row r="15">
      <c r="A15" s="12">
        <f>'تست کور'!A15</f>
        <v/>
      </c>
      <c r="B15" s="12">
        <f>'تست کور'!B15</f>
        <v/>
      </c>
      <c r="C15" s="10">
        <f>IF(OR('تست کور'!I15="", 'تست کور'!I15="امتناع درست — قاعده‌اش در این فاز ساخته نشده"), "", IF('تست کور'!I15="قبولی کامل (Pass)", 25, IF('تست کور'!J15="خطا در تشخیص ماهیت رویداد", 0, IF('تست کور'!I15="قبولی مشروط (Conditional)", 20, 15))))</f>
        <v/>
      </c>
      <c r="D15" s="10">
        <f>IF(OR('تست کور'!I15="", 'تست کور'!I15="امتناع درست — قاعده‌اش در این فاز ساخته نشده"), "", IF('تست کور'!I15="قبولی کامل (Pass)", 25, IF(OR('تست کور'!J15="جابجایی یا اشتباه بدهکار/بستانکار", 'تست کور'!I15="خطا در تشخیص سرفصل"), 0, IF('تست کور'!I15="قبولی مشروط (Conditional)", 18, 10))))</f>
        <v/>
      </c>
      <c r="E15" s="10">
        <f>IF(OR('تست کور'!I15="", 'تست کور'!I15="امتناع درست — قاعده‌اش در این فاز ساخته نشده"), "", IF('تست کور'!I15="قبولی کامل (Pass)", 20, IF(OR('تست کور'!J15="استخراج اشتباه مبلغ یا ارقام", 'تست کور'!I15="خطا در استخراج مبلغ"), 0, IF('تست کور'!I15="قبولی مشروط (Conditional)", 15, 12))))</f>
        <v/>
      </c>
      <c r="F15" s="10">
        <f>IF(OR('تست کور'!I15="", 'تست کور'!I15="امتناع درست — قاعده‌اش در این فاز ساخته نشده"), "", IF('تست کور'!I15="قبولی کامل (Pass)", 15, IF('تست کور'!J15="عدم تشخیص سررسید یا طرف‌حساب", 0, IF('تست کور'!I15="قبولی مشروط (Conditional)", 11, 10))))</f>
        <v/>
      </c>
      <c r="G15" s="10">
        <f>IF(OR('تست کور'!I15="", 'تست کور'!I15="امتناع درست — قاعده‌اش در این فاز ساخته نشده"), "", IF('تست کور'!I15="قبولی کامل (Pass)", 15, IF(OR('تست کور'!J15="عدم طرح سؤال در سناریوی مبهم", 'تست کور'!J15="طرح سؤال تکمیلی غلط و توهم اطلاعات", 'تست کور'!I15="سؤال تکمیلی نامربوط/توهم", 'تست کور'!I15="سکوت اشتباه در ابهام"), 0, IF(OR('تست کور'!J15="از قلم افتادن بخش دوم در جمله مرکب", 'تست کور'!I15="عدم تفکیک رویدادها"), 3, IF('تست کور'!I15="قبولی مشروط (Conditional)", 11, 8)))))</f>
        <v/>
      </c>
      <c r="H15" s="10">
        <f>IF(C15="", "", C15+D15+E15+F15+G15)</f>
        <v/>
      </c>
      <c r="I15" s="12">
        <f>IF(H15="", "در انتظار آزمون", IF(H15&gt;=85, "قبولی ممتاز (Passed)", IF(H15&gt;=70, "قبولی متوسط (Acceptable)", IF(H15&gt;=50, "نیازمند بازآموزی (Retrain)", "مردود (Failed)"))))</f>
        <v/>
      </c>
      <c r="J15" s="12">
        <f>IF('تست کور'!I15="", "تست نشده", 'تست کور'!I15)</f>
        <v/>
      </c>
    </row>
    <row r="16">
      <c r="A16" s="12">
        <f>'تست کور'!A16</f>
        <v/>
      </c>
      <c r="B16" s="12">
        <f>'تست کور'!B16</f>
        <v/>
      </c>
      <c r="C16" s="10">
        <f>IF(OR('تست کور'!I16="", 'تست کور'!I16="امتناع درست — قاعده‌اش در این فاز ساخته نشده"), "", IF('تست کور'!I16="قبولی کامل (Pass)", 25, IF('تست کور'!J16="خطا در تشخیص ماهیت رویداد", 0, IF('تست کور'!I16="قبولی مشروط (Conditional)", 20, 15))))</f>
        <v/>
      </c>
      <c r="D16" s="10">
        <f>IF(OR('تست کور'!I16="", 'تست کور'!I16="امتناع درست — قاعده‌اش در این فاز ساخته نشده"), "", IF('تست کور'!I16="قبولی کامل (Pass)", 25, IF(OR('تست کور'!J16="جابجایی یا اشتباه بدهکار/بستانکار", 'تست کور'!I16="خطا در تشخیص سرفصل"), 0, IF('تست کور'!I16="قبولی مشروط (Conditional)", 18, 10))))</f>
        <v/>
      </c>
      <c r="E16" s="10">
        <f>IF(OR('تست کور'!I16="", 'تست کور'!I16="امتناع درست — قاعده‌اش در این فاز ساخته نشده"), "", IF('تست کور'!I16="قبولی کامل (Pass)", 20, IF(OR('تست کور'!J16="استخراج اشتباه مبلغ یا ارقام", 'تست کور'!I16="خطا در استخراج مبلغ"), 0, IF('تست کور'!I16="قبولی مشروط (Conditional)", 15, 12))))</f>
        <v/>
      </c>
      <c r="F16" s="10">
        <f>IF(OR('تست کور'!I16="", 'تست کور'!I16="امتناع درست — قاعده‌اش در این فاز ساخته نشده"), "", IF('تست کور'!I16="قبولی کامل (Pass)", 15, IF('تست کور'!J16="عدم تشخیص سررسید یا طرف‌حساب", 0, IF('تست کور'!I16="قبولی مشروط (Conditional)", 11, 10))))</f>
        <v/>
      </c>
      <c r="G16" s="10">
        <f>IF(OR('تست کور'!I16="", 'تست کور'!I16="امتناع درست — قاعده‌اش در این فاز ساخته نشده"), "", IF('تست کور'!I16="قبولی کامل (Pass)", 15, IF(OR('تست کور'!J16="عدم طرح سؤال در سناریوی مبهم", 'تست کور'!J16="طرح سؤال تکمیلی غلط و توهم اطلاعات", 'تست کور'!I16="سؤال تکمیلی نامربوط/توهم", 'تست کور'!I16="سکوت اشتباه در ابهام"), 0, IF(OR('تست کور'!J16="از قلم افتادن بخش دوم در جمله مرکب", 'تست کور'!I16="عدم تفکیک رویدادها"), 3, IF('تست کور'!I16="قبولی مشروط (Conditional)", 11, 8)))))</f>
        <v/>
      </c>
      <c r="H16" s="10">
        <f>IF(C16="", "", C16+D16+E16+F16+G16)</f>
        <v/>
      </c>
      <c r="I16" s="12">
        <f>IF(H16="", "در انتظار آزمون", IF(H16&gt;=85, "قبولی ممتاز (Passed)", IF(H16&gt;=70, "قبولی متوسط (Acceptable)", IF(H16&gt;=50, "نیازمند بازآموزی (Retrain)", "مردود (Failed)"))))</f>
        <v/>
      </c>
      <c r="J16" s="12">
        <f>IF('تست کور'!I16="", "تست نشده", 'تست کور'!I16)</f>
        <v/>
      </c>
    </row>
    <row r="17">
      <c r="A17" s="12">
        <f>'تست کور'!A17</f>
        <v/>
      </c>
      <c r="B17" s="12">
        <f>'تست کور'!B17</f>
        <v/>
      </c>
      <c r="C17" s="10">
        <f>IF(OR('تست کور'!I17="", 'تست کور'!I17="امتناع درست — قاعده‌اش در این فاز ساخته نشده"), "", IF('تست کور'!I17="قبولی کامل (Pass)", 25, IF('تست کور'!J17="خطا در تشخیص ماهیت رویداد", 0, IF('تست کور'!I17="قبولی مشروط (Conditional)", 20, 15))))</f>
        <v/>
      </c>
      <c r="D17" s="10">
        <f>IF(OR('تست کور'!I17="", 'تست کور'!I17="امتناع درست — قاعده‌اش در این فاز ساخته نشده"), "", IF('تست کور'!I17="قبولی کامل (Pass)", 25, IF(OR('تست کور'!J17="جابجایی یا اشتباه بدهکار/بستانکار", 'تست کور'!I17="خطا در تشخیص سرفصل"), 0, IF('تست کور'!I17="قبولی مشروط (Conditional)", 18, 10))))</f>
        <v/>
      </c>
      <c r="E17" s="10">
        <f>IF(OR('تست کور'!I17="", 'تست کور'!I17="امتناع درست — قاعده‌اش در این فاز ساخته نشده"), "", IF('تست کور'!I17="قبولی کامل (Pass)", 20, IF(OR('تست کور'!J17="استخراج اشتباه مبلغ یا ارقام", 'تست کور'!I17="خطا در استخراج مبلغ"), 0, IF('تست کور'!I17="قبولی مشروط (Conditional)", 15, 12))))</f>
        <v/>
      </c>
      <c r="F17" s="10">
        <f>IF(OR('تست کور'!I17="", 'تست کور'!I17="امتناع درست — قاعده‌اش در این فاز ساخته نشده"), "", IF('تست کور'!I17="قبولی کامل (Pass)", 15, IF('تست کور'!J17="عدم تشخیص سررسید یا طرف‌حساب", 0, IF('تست کور'!I17="قبولی مشروط (Conditional)", 11, 10))))</f>
        <v/>
      </c>
      <c r="G17" s="10">
        <f>IF(OR('تست کور'!I17="", 'تست کور'!I17="امتناع درست — قاعده‌اش در این فاز ساخته نشده"), "", IF('تست کور'!I17="قبولی کامل (Pass)", 15, IF(OR('تست کور'!J17="عدم طرح سؤال در سناریوی مبهم", 'تست کور'!J17="طرح سؤال تکمیلی غلط و توهم اطلاعات", 'تست کور'!I17="سؤال تکمیلی نامربوط/توهم", 'تست کور'!I17="سکوت اشتباه در ابهام"), 0, IF(OR('تست کور'!J17="از قلم افتادن بخش دوم در جمله مرکب", 'تست کور'!I17="عدم تفکیک رویدادها"), 3, IF('تست کور'!I17="قبولی مشروط (Conditional)", 11, 8)))))</f>
        <v/>
      </c>
      <c r="H17" s="10">
        <f>IF(C17="", "", C17+D17+E17+F17+G17)</f>
        <v/>
      </c>
      <c r="I17" s="12">
        <f>IF(H17="", "در انتظار آزمون", IF(H17&gt;=85, "قبولی ممتاز (Passed)", IF(H17&gt;=70, "قبولی متوسط (Acceptable)", IF(H17&gt;=50, "نیازمند بازآموزی (Retrain)", "مردود (Failed)"))))</f>
        <v/>
      </c>
      <c r="J17" s="12">
        <f>IF('تست کور'!I17="", "تست نشده", 'تست کور'!I17)</f>
        <v/>
      </c>
    </row>
    <row r="18">
      <c r="A18" s="12">
        <f>'تست کور'!A18</f>
        <v/>
      </c>
      <c r="B18" s="12">
        <f>'تست کور'!B18</f>
        <v/>
      </c>
      <c r="C18" s="10">
        <f>IF(OR('تست کور'!I18="", 'تست کور'!I18="امتناع درست — قاعده‌اش در این فاز ساخته نشده"), "", IF('تست کور'!I18="قبولی کامل (Pass)", 25, IF('تست کور'!J18="خطا در تشخیص ماهیت رویداد", 0, IF('تست کور'!I18="قبولی مشروط (Conditional)", 20, 15))))</f>
        <v/>
      </c>
      <c r="D18" s="10">
        <f>IF(OR('تست کور'!I18="", 'تست کور'!I18="امتناع درست — قاعده‌اش در این فاز ساخته نشده"), "", IF('تست کور'!I18="قبولی کامل (Pass)", 25, IF(OR('تست کور'!J18="جابجایی یا اشتباه بدهکار/بستانکار", 'تست کور'!I18="خطا در تشخیص سرفصل"), 0, IF('تست کور'!I18="قبولی مشروط (Conditional)", 18, 10))))</f>
        <v/>
      </c>
      <c r="E18" s="10">
        <f>IF(OR('تست کور'!I18="", 'تست کور'!I18="امتناع درست — قاعده‌اش در این فاز ساخته نشده"), "", IF('تست کور'!I18="قبولی کامل (Pass)", 20, IF(OR('تست کور'!J18="استخراج اشتباه مبلغ یا ارقام", 'تست کور'!I18="خطا در استخراج مبلغ"), 0, IF('تست کور'!I18="قبولی مشروط (Conditional)", 15, 12))))</f>
        <v/>
      </c>
      <c r="F18" s="10">
        <f>IF(OR('تست کور'!I18="", 'تست کور'!I18="امتناع درست — قاعده‌اش در این فاز ساخته نشده"), "", IF('تست کور'!I18="قبولی کامل (Pass)", 15, IF('تست کور'!J18="عدم تشخیص سررسید یا طرف‌حساب", 0, IF('تست کور'!I18="قبولی مشروط (Conditional)", 11, 10))))</f>
        <v/>
      </c>
      <c r="G18" s="10">
        <f>IF(OR('تست کور'!I18="", 'تست کور'!I18="امتناع درست — قاعده‌اش در این فاز ساخته نشده"), "", IF('تست کور'!I18="قبولی کامل (Pass)", 15, IF(OR('تست کور'!J18="عدم طرح سؤال در سناریوی مبهم", 'تست کور'!J18="طرح سؤال تکمیلی غلط و توهم اطلاعات", 'تست کور'!I18="سؤال تکمیلی نامربوط/توهم", 'تست کور'!I18="سکوت اشتباه در ابهام"), 0, IF(OR('تست کور'!J18="از قلم افتادن بخش دوم در جمله مرکب", 'تست کور'!I18="عدم تفکیک رویدادها"), 3, IF('تست کور'!I18="قبولی مشروط (Conditional)", 11, 8)))))</f>
        <v/>
      </c>
      <c r="H18" s="10">
        <f>IF(C18="", "", C18+D18+E18+F18+G18)</f>
        <v/>
      </c>
      <c r="I18" s="12">
        <f>IF(H18="", "در انتظار آزمون", IF(H18&gt;=85, "قبولی ممتاز (Passed)", IF(H18&gt;=70, "قبولی متوسط (Acceptable)", IF(H18&gt;=50, "نیازمند بازآموزی (Retrain)", "مردود (Failed)"))))</f>
        <v/>
      </c>
      <c r="J18" s="12">
        <f>IF('تست کور'!I18="", "تست نشده", 'تست کور'!I18)</f>
        <v/>
      </c>
    </row>
    <row r="19">
      <c r="A19" s="12">
        <f>'تست کور'!A19</f>
        <v/>
      </c>
      <c r="B19" s="12">
        <f>'تست کور'!B19</f>
        <v/>
      </c>
      <c r="C19" s="10">
        <f>IF(OR('تست کور'!I19="", 'تست کور'!I19="امتناع درست — قاعده‌اش در این فاز ساخته نشده"), "", IF('تست کور'!I19="قبولی کامل (Pass)", 25, IF('تست کور'!J19="خطا در تشخیص ماهیت رویداد", 0, IF('تست کور'!I19="قبولی مشروط (Conditional)", 20, 15))))</f>
        <v/>
      </c>
      <c r="D19" s="10">
        <f>IF(OR('تست کور'!I19="", 'تست کور'!I19="امتناع درست — قاعده‌اش در این فاز ساخته نشده"), "", IF('تست کور'!I19="قبولی کامل (Pass)", 25, IF(OR('تست کور'!J19="جابجایی یا اشتباه بدهکار/بستانکار", 'تست کور'!I19="خطا در تشخیص سرفصل"), 0, IF('تست کور'!I19="قبولی مشروط (Conditional)", 18, 10))))</f>
        <v/>
      </c>
      <c r="E19" s="10">
        <f>IF(OR('تست کور'!I19="", 'تست کور'!I19="امتناع درست — قاعده‌اش در این فاز ساخته نشده"), "", IF('تست کور'!I19="قبولی کامل (Pass)", 20, IF(OR('تست کور'!J19="استخراج اشتباه مبلغ یا ارقام", 'تست کور'!I19="خطا در استخراج مبلغ"), 0, IF('تست کور'!I19="قبولی مشروط (Conditional)", 15, 12))))</f>
        <v/>
      </c>
      <c r="F19" s="10">
        <f>IF(OR('تست کور'!I19="", 'تست کور'!I19="امتناع درست — قاعده‌اش در این فاز ساخته نشده"), "", IF('تست کور'!I19="قبولی کامل (Pass)", 15, IF('تست کور'!J19="عدم تشخیص سررسید یا طرف‌حساب", 0, IF('تست کور'!I19="قبولی مشروط (Conditional)", 11, 10))))</f>
        <v/>
      </c>
      <c r="G19" s="10">
        <f>IF(OR('تست کور'!I19="", 'تست کور'!I19="امتناع درست — قاعده‌اش در این فاز ساخته نشده"), "", IF('تست کور'!I19="قبولی کامل (Pass)", 15, IF(OR('تست کور'!J19="عدم طرح سؤال در سناریوی مبهم", 'تست کور'!J19="طرح سؤال تکمیلی غلط و توهم اطلاعات", 'تست کور'!I19="سؤال تکمیلی نامربوط/توهم", 'تست کور'!I19="سکوت اشتباه در ابهام"), 0, IF(OR('تست کور'!J19="از قلم افتادن بخش دوم در جمله مرکب", 'تست کور'!I19="عدم تفکیک رویدادها"), 3, IF('تست کور'!I19="قبولی مشروط (Conditional)", 11, 8)))))</f>
        <v/>
      </c>
      <c r="H19" s="10">
        <f>IF(C19="", "", C19+D19+E19+F19+G19)</f>
        <v/>
      </c>
      <c r="I19" s="12">
        <f>IF(H19="", "در انتظار آزمون", IF(H19&gt;=85, "قبولی ممتاز (Passed)", IF(H19&gt;=70, "قبولی متوسط (Acceptable)", IF(H19&gt;=50, "نیازمند بازآموزی (Retrain)", "مردود (Failed)"))))</f>
        <v/>
      </c>
      <c r="J19" s="12">
        <f>IF('تست کور'!I19="", "تست نشده", 'تست کور'!I19)</f>
        <v/>
      </c>
    </row>
    <row r="20">
      <c r="A20" s="12">
        <f>'تست کور'!A20</f>
        <v/>
      </c>
      <c r="B20" s="12">
        <f>'تست کور'!B20</f>
        <v/>
      </c>
      <c r="C20" s="10">
        <f>IF(OR('تست کور'!I20="", 'تست کور'!I20="امتناع درست — قاعده‌اش در این فاز ساخته نشده"), "", IF('تست کور'!I20="قبولی کامل (Pass)", 25, IF('تست کور'!J20="خطا در تشخیص ماهیت رویداد", 0, IF('تست کور'!I20="قبولی مشروط (Conditional)", 20, 15))))</f>
        <v/>
      </c>
      <c r="D20" s="10">
        <f>IF(OR('تست کور'!I20="", 'تست کور'!I20="امتناع درست — قاعده‌اش در این فاز ساخته نشده"), "", IF('تست کور'!I20="قبولی کامل (Pass)", 25, IF(OR('تست کور'!J20="جابجایی یا اشتباه بدهکار/بستانکار", 'تست کور'!I20="خطا در تشخیص سرفصل"), 0, IF('تست کور'!I20="قبولی مشروط (Conditional)", 18, 10))))</f>
        <v/>
      </c>
      <c r="E20" s="10">
        <f>IF(OR('تست کور'!I20="", 'تست کور'!I20="امتناع درست — قاعده‌اش در این فاز ساخته نشده"), "", IF('تست کور'!I20="قبولی کامل (Pass)", 20, IF(OR('تست کور'!J20="استخراج اشتباه مبلغ یا ارقام", 'تست کور'!I20="خطا در استخراج مبلغ"), 0, IF('تست کور'!I20="قبولی مشروط (Conditional)", 15, 12))))</f>
        <v/>
      </c>
      <c r="F20" s="10">
        <f>IF(OR('تست کور'!I20="", 'تست کور'!I20="امتناع درست — قاعده‌اش در این فاز ساخته نشده"), "", IF('تست کور'!I20="قبولی کامل (Pass)", 15, IF('تست کور'!J20="عدم تشخیص سررسید یا طرف‌حساب", 0, IF('تست کور'!I20="قبولی مشروط (Conditional)", 11, 10))))</f>
        <v/>
      </c>
      <c r="G20" s="10">
        <f>IF(OR('تست کور'!I20="", 'تست کور'!I20="امتناع درست — قاعده‌اش در این فاز ساخته نشده"), "", IF('تست کور'!I20="قبولی کامل (Pass)", 15, IF(OR('تست کور'!J20="عدم طرح سؤال در سناریوی مبهم", 'تست کور'!J20="طرح سؤال تکمیلی غلط و توهم اطلاعات", 'تست کور'!I20="سؤال تکمیلی نامربوط/توهم", 'تست کور'!I20="سکوت اشتباه در ابهام"), 0, IF(OR('تست کور'!J20="از قلم افتادن بخش دوم در جمله مرکب", 'تست کور'!I20="عدم تفکیک رویدادها"), 3, IF('تست کور'!I20="قبولی مشروط (Conditional)", 11, 8)))))</f>
        <v/>
      </c>
      <c r="H20" s="10">
        <f>IF(C20="", "", C20+D20+E20+F20+G20)</f>
        <v/>
      </c>
      <c r="I20" s="12">
        <f>IF(H20="", "در انتظار آزمون", IF(H20&gt;=85, "قبولی ممتاز (Passed)", IF(H20&gt;=70, "قبولی متوسط (Acceptable)", IF(H20&gt;=50, "نیازمند بازآموزی (Retrain)", "مردود (Failed)"))))</f>
        <v/>
      </c>
      <c r="J20" s="12">
        <f>IF('تست کور'!I20="", "تست نشده", 'تست کور'!I20)</f>
        <v/>
      </c>
    </row>
    <row r="21">
      <c r="A21" s="12">
        <f>'تست کور'!A21</f>
        <v/>
      </c>
      <c r="B21" s="12">
        <f>'تست کور'!B21</f>
        <v/>
      </c>
      <c r="C21" s="10">
        <f>IF(OR('تست کور'!I21="", 'تست کور'!I21="امتناع درست — قاعده‌اش در این فاز ساخته نشده"), "", IF('تست کور'!I21="قبولی کامل (Pass)", 25, IF('تست کور'!J21="خطا در تشخیص ماهیت رویداد", 0, IF('تست کور'!I21="قبولی مشروط (Conditional)", 20, 15))))</f>
        <v/>
      </c>
      <c r="D21" s="10">
        <f>IF(OR('تست کور'!I21="", 'تست کور'!I21="امتناع درست — قاعده‌اش در این فاز ساخته نشده"), "", IF('تست کور'!I21="قبولی کامل (Pass)", 25, IF(OR('تست کور'!J21="جابجایی یا اشتباه بدهکار/بستانکار", 'تست کور'!I21="خطا در تشخیص سرفصل"), 0, IF('تست کور'!I21="قبولی مشروط (Conditional)", 18, 10))))</f>
        <v/>
      </c>
      <c r="E21" s="10">
        <f>IF(OR('تست کور'!I21="", 'تست کور'!I21="امتناع درست — قاعده‌اش در این فاز ساخته نشده"), "", IF('تست کور'!I21="قبولی کامل (Pass)", 20, IF(OR('تست کور'!J21="استخراج اشتباه مبلغ یا ارقام", 'تست کور'!I21="خطا در استخراج مبلغ"), 0, IF('تست کور'!I21="قبولی مشروط (Conditional)", 15, 12))))</f>
        <v/>
      </c>
      <c r="F21" s="10">
        <f>IF(OR('تست کور'!I21="", 'تست کور'!I21="امتناع درست — قاعده‌اش در این فاز ساخته نشده"), "", IF('تست کور'!I21="قبولی کامل (Pass)", 15, IF('تست کور'!J21="عدم تشخیص سررسید یا طرف‌حساب", 0, IF('تست کور'!I21="قبولی مشروط (Conditional)", 11, 10))))</f>
        <v/>
      </c>
      <c r="G21" s="10">
        <f>IF(OR('تست کور'!I21="", 'تست کور'!I21="امتناع درست — قاعده‌اش در این فاز ساخته نشده"), "", IF('تست کور'!I21="قبولی کامل (Pass)", 15, IF(OR('تست کور'!J21="عدم طرح سؤال در سناریوی مبهم", 'تست کور'!J21="طرح سؤال تکمیلی غلط و توهم اطلاعات", 'تست کور'!I21="سؤال تکمیلی نامربوط/توهم", 'تست کور'!I21="سکوت اشتباه در ابهام"), 0, IF(OR('تست کور'!J21="از قلم افتادن بخش دوم در جمله مرکب", 'تست کور'!I21="عدم تفکیک رویدادها"), 3, IF('تست کور'!I21="قبولی مشروط (Conditional)", 11, 8)))))</f>
        <v/>
      </c>
      <c r="H21" s="10">
        <f>IF(C21="", "", C21+D21+E21+F21+G21)</f>
        <v/>
      </c>
      <c r="I21" s="12">
        <f>IF(H21="", "در انتظار آزمون", IF(H21&gt;=85, "قبولی ممتاز (Passed)", IF(H21&gt;=70, "قبولی متوسط (Acceptable)", IF(H21&gt;=50, "نیازمند بازآموزی (Retrain)", "مردود (Failed)"))))</f>
        <v/>
      </c>
      <c r="J21" s="12">
        <f>IF('تست کور'!I21="", "تست نشده", 'تست کور'!I21)</f>
        <v/>
      </c>
    </row>
    <row r="22">
      <c r="A22" s="12">
        <f>'تست کور'!A22</f>
        <v/>
      </c>
      <c r="B22" s="12">
        <f>'تست کور'!B22</f>
        <v/>
      </c>
      <c r="C22" s="10">
        <f>IF(OR('تست کور'!I22="", 'تست کور'!I22="امتناع درست — قاعده‌اش در این فاز ساخته نشده"), "", IF('تست کور'!I22="قبولی کامل (Pass)", 25, IF('تست کور'!J22="خطا در تشخیص ماهیت رویداد", 0, IF('تست کور'!I22="قبولی مشروط (Conditional)", 20, 15))))</f>
        <v/>
      </c>
      <c r="D22" s="10">
        <f>IF(OR('تست کور'!I22="", 'تست کور'!I22="امتناع درست — قاعده‌اش در این فاز ساخته نشده"), "", IF('تست کور'!I22="قبولی کامل (Pass)", 25, IF(OR('تست کور'!J22="جابجایی یا اشتباه بدهکار/بستانکار", 'تست کور'!I22="خطا در تشخیص سرفصل"), 0, IF('تست کور'!I22="قبولی مشروط (Conditional)", 18, 10))))</f>
        <v/>
      </c>
      <c r="E22" s="10">
        <f>IF(OR('تست کور'!I22="", 'تست کور'!I22="امتناع درست — قاعده‌اش در این فاز ساخته نشده"), "", IF('تست کور'!I22="قبولی کامل (Pass)", 20, IF(OR('تست کور'!J22="استخراج اشتباه مبلغ یا ارقام", 'تست کور'!I22="خطا در استخراج مبلغ"), 0, IF('تست کور'!I22="قبولی مشروط (Conditional)", 15, 12))))</f>
        <v/>
      </c>
      <c r="F22" s="10">
        <f>IF(OR('تست کور'!I22="", 'تست کور'!I22="امتناع درست — قاعده‌اش در این فاز ساخته نشده"), "", IF('تست کور'!I22="قبولی کامل (Pass)", 15, IF('تست کور'!J22="عدم تشخیص سررسید یا طرف‌حساب", 0, IF('تست کور'!I22="قبولی مشروط (Conditional)", 11, 10))))</f>
        <v/>
      </c>
      <c r="G22" s="10">
        <f>IF(OR('تست کور'!I22="", 'تست کور'!I22="امتناع درست — قاعده‌اش در این فاز ساخته نشده"), "", IF('تست کور'!I22="قبولی کامل (Pass)", 15, IF(OR('تست کور'!J22="عدم طرح سؤال در سناریوی مبهم", 'تست کور'!J22="طرح سؤال تکمیلی غلط و توهم اطلاعات", 'تست کور'!I22="سؤال تکمیلی نامربوط/توهم", 'تست کور'!I22="سکوت اشتباه در ابهام"), 0, IF(OR('تست کور'!J22="از قلم افتادن بخش دوم در جمله مرکب", 'تست کور'!I22="عدم تفکیک رویدادها"), 3, IF('تست کور'!I22="قبولی مشروط (Conditional)", 11, 8)))))</f>
        <v/>
      </c>
      <c r="H22" s="10">
        <f>IF(C22="", "", C22+D22+E22+F22+G22)</f>
        <v/>
      </c>
      <c r="I22" s="12">
        <f>IF(H22="", "در انتظار آزمون", IF(H22&gt;=85, "قبولی ممتاز (Passed)", IF(H22&gt;=70, "قبولی متوسط (Acceptable)", IF(H22&gt;=50, "نیازمند بازآموزی (Retrain)", "مردود (Failed)"))))</f>
        <v/>
      </c>
      <c r="J22" s="12">
        <f>IF('تست کور'!I22="", "تست نشده", 'تست کور'!I22)</f>
        <v/>
      </c>
    </row>
    <row r="23">
      <c r="A23" s="12">
        <f>'تست کور'!A23</f>
        <v/>
      </c>
      <c r="B23" s="12">
        <f>'تست کور'!B23</f>
        <v/>
      </c>
      <c r="C23" s="10">
        <f>IF(OR('تست کور'!I23="", 'تست کور'!I23="امتناع درست — قاعده‌اش در این فاز ساخته نشده"), "", IF('تست کور'!I23="قبولی کامل (Pass)", 25, IF('تست کور'!J23="خطا در تشخیص ماهیت رویداد", 0, IF('تست کور'!I23="قبولی مشروط (Conditional)", 20, 15))))</f>
        <v/>
      </c>
      <c r="D23" s="10">
        <f>IF(OR('تست کور'!I23="", 'تست کور'!I23="امتناع درست — قاعده‌اش در این فاز ساخته نشده"), "", IF('تست کور'!I23="قبولی کامل (Pass)", 25, IF(OR('تست کور'!J23="جابجایی یا اشتباه بدهکار/بستانکار", 'تست کور'!I23="خطا در تشخیص سرفصل"), 0, IF('تست کور'!I23="قبولی مشروط (Conditional)", 18, 10))))</f>
        <v/>
      </c>
      <c r="E23" s="10">
        <f>IF(OR('تست کور'!I23="", 'تست کور'!I23="امتناع درست — قاعده‌اش در این فاز ساخته نشده"), "", IF('تست کور'!I23="قبولی کامل (Pass)", 20, IF(OR('تست کور'!J23="استخراج اشتباه مبلغ یا ارقام", 'تست کور'!I23="خطا در استخراج مبلغ"), 0, IF('تست کور'!I23="قبولی مشروط (Conditional)", 15, 12))))</f>
        <v/>
      </c>
      <c r="F23" s="10">
        <f>IF(OR('تست کور'!I23="", 'تست کور'!I23="امتناع درست — قاعده‌اش در این فاز ساخته نشده"), "", IF('تست کور'!I23="قبولی کامل (Pass)", 15, IF('تست کور'!J23="عدم تشخیص سررسید یا طرف‌حساب", 0, IF('تست کور'!I23="قبولی مشروط (Conditional)", 11, 10))))</f>
        <v/>
      </c>
      <c r="G23" s="10">
        <f>IF(OR('تست کور'!I23="", 'تست کور'!I23="امتناع درست — قاعده‌اش در این فاز ساخته نشده"), "", IF('تست کور'!I23="قبولی کامل (Pass)", 15, IF(OR('تست کور'!J23="عدم طرح سؤال در سناریوی مبهم", 'تست کور'!J23="طرح سؤال تکمیلی غلط و توهم اطلاعات", 'تست کور'!I23="سؤال تکمیلی نامربوط/توهم", 'تست کور'!I23="سکوت اشتباه در ابهام"), 0, IF(OR('تست کور'!J23="از قلم افتادن بخش دوم در جمله مرکب", 'تست کور'!I23="عدم تفکیک رویدادها"), 3, IF('تست کور'!I23="قبولی مشروط (Conditional)", 11, 8)))))</f>
        <v/>
      </c>
      <c r="H23" s="10">
        <f>IF(C23="", "", C23+D23+E23+F23+G23)</f>
        <v/>
      </c>
      <c r="I23" s="12">
        <f>IF(H23="", "در انتظار آزمون", IF(H23&gt;=85, "قبولی ممتاز (Passed)", IF(H23&gt;=70, "قبولی متوسط (Acceptable)", IF(H23&gt;=50, "نیازمند بازآموزی (Retrain)", "مردود (Failed)"))))</f>
        <v/>
      </c>
      <c r="J23" s="12">
        <f>IF('تست کور'!I23="", "تست نشده", 'تست کور'!I23)</f>
        <v/>
      </c>
    </row>
    <row r="24">
      <c r="A24" s="12">
        <f>'تست کور'!A24</f>
        <v/>
      </c>
      <c r="B24" s="12">
        <f>'تست کور'!B24</f>
        <v/>
      </c>
      <c r="C24" s="10">
        <f>IF(OR('تست کور'!I24="", 'تست کور'!I24="امتناع درست — قاعده‌اش در این فاز ساخته نشده"), "", IF('تست کور'!I24="قبولی کامل (Pass)", 25, IF('تست کور'!J24="خطا در تشخیص ماهیت رویداد", 0, IF('تست کور'!I24="قبولی مشروط (Conditional)", 20, 15))))</f>
        <v/>
      </c>
      <c r="D24" s="10">
        <f>IF(OR('تست کور'!I24="", 'تست کور'!I24="امتناع درست — قاعده‌اش در این فاز ساخته نشده"), "", IF('تست کور'!I24="قبولی کامل (Pass)", 25, IF(OR('تست کور'!J24="جابجایی یا اشتباه بدهکار/بستانکار", 'تست کور'!I24="خطا در تشخیص سرفصل"), 0, IF('تست کور'!I24="قبولی مشروط (Conditional)", 18, 10))))</f>
        <v/>
      </c>
      <c r="E24" s="10">
        <f>IF(OR('تست کور'!I24="", 'تست کور'!I24="امتناع درست — قاعده‌اش در این فاز ساخته نشده"), "", IF('تست کور'!I24="قبولی کامل (Pass)", 20, IF(OR('تست کور'!J24="استخراج اشتباه مبلغ یا ارقام", 'تست کور'!I24="خطا در استخراج مبلغ"), 0, IF('تست کور'!I24="قبولی مشروط (Conditional)", 15, 12))))</f>
        <v/>
      </c>
      <c r="F24" s="10">
        <f>IF(OR('تست کور'!I24="", 'تست کور'!I24="امتناع درست — قاعده‌اش در این فاز ساخته نشده"), "", IF('تست کور'!I24="قبولی کامل (Pass)", 15, IF('تست کور'!J24="عدم تشخیص سررسید یا طرف‌حساب", 0, IF('تست کور'!I24="قبولی مشروط (Conditional)", 11, 10))))</f>
        <v/>
      </c>
      <c r="G24" s="10">
        <f>IF(OR('تست کور'!I24="", 'تست کور'!I24="امتناع درست — قاعده‌اش در این فاز ساخته نشده"), "", IF('تست کور'!I24="قبولی کامل (Pass)", 15, IF(OR('تست کور'!J24="عدم طرح سؤال در سناریوی مبهم", 'تست کور'!J24="طرح سؤال تکمیلی غلط و توهم اطلاعات", 'تست کور'!I24="سؤال تکمیلی نامربوط/توهم", 'تست کور'!I24="سکوت اشتباه در ابهام"), 0, IF(OR('تست کور'!J24="از قلم افتادن بخش دوم در جمله مرکب", 'تست کور'!I24="عدم تفکیک رویدادها"), 3, IF('تست کور'!I24="قبولی مشروط (Conditional)", 11, 8)))))</f>
        <v/>
      </c>
      <c r="H24" s="10">
        <f>IF(C24="", "", C24+D24+E24+F24+G24)</f>
        <v/>
      </c>
      <c r="I24" s="12">
        <f>IF(H24="", "در انتظار آزمون", IF(H24&gt;=85, "قبولی ممتاز (Passed)", IF(H24&gt;=70, "قبولی متوسط (Acceptable)", IF(H24&gt;=50, "نیازمند بازآموزی (Retrain)", "مردود (Failed)"))))</f>
        <v/>
      </c>
      <c r="J24" s="12">
        <f>IF('تست کور'!I24="", "تست نشده", 'تست کور'!I24)</f>
        <v/>
      </c>
    </row>
    <row r="25">
      <c r="A25" s="12">
        <f>'تست کور'!A25</f>
        <v/>
      </c>
      <c r="B25" s="12">
        <f>'تست کور'!B25</f>
        <v/>
      </c>
      <c r="C25" s="10">
        <f>IF(OR('تست کور'!I25="", 'تست کور'!I25="امتناع درست — قاعده‌اش در این فاز ساخته نشده"), "", IF('تست کور'!I25="قبولی کامل (Pass)", 25, IF('تست کور'!J25="خطا در تشخیص ماهیت رویداد", 0, IF('تست کور'!I25="قبولی مشروط (Conditional)", 20, 15))))</f>
        <v/>
      </c>
      <c r="D25" s="10">
        <f>IF(OR('تست کور'!I25="", 'تست کور'!I25="امتناع درست — قاعده‌اش در این فاز ساخته نشده"), "", IF('تست کور'!I25="قبولی کامل (Pass)", 25, IF(OR('تست کور'!J25="جابجایی یا اشتباه بدهکار/بستانکار", 'تست کور'!I25="خطا در تشخیص سرفصل"), 0, IF('تست کور'!I25="قبولی مشروط (Conditional)", 18, 10))))</f>
        <v/>
      </c>
      <c r="E25" s="10">
        <f>IF(OR('تست کور'!I25="", 'تست کور'!I25="امتناع درست — قاعده‌اش در این فاز ساخته نشده"), "", IF('تست کور'!I25="قبولی کامل (Pass)", 20, IF(OR('تست کور'!J25="استخراج اشتباه مبلغ یا ارقام", 'تست کور'!I25="خطا در استخراج مبلغ"), 0, IF('تست کور'!I25="قبولی مشروط (Conditional)", 15, 12))))</f>
        <v/>
      </c>
      <c r="F25" s="10">
        <f>IF(OR('تست کور'!I25="", 'تست کور'!I25="امتناع درست — قاعده‌اش در این فاز ساخته نشده"), "", IF('تست کور'!I25="قبولی کامل (Pass)", 15, IF('تست کور'!J25="عدم تشخیص سررسید یا طرف‌حساب", 0, IF('تست کور'!I25="قبولی مشروط (Conditional)", 11, 10))))</f>
        <v/>
      </c>
      <c r="G25" s="10">
        <f>IF(OR('تست کور'!I25="", 'تست کور'!I25="امتناع درست — قاعده‌اش در این فاز ساخته نشده"), "", IF('تست کور'!I25="قبولی کامل (Pass)", 15, IF(OR('تست کور'!J25="عدم طرح سؤال در سناریوی مبهم", 'تست کور'!J25="طرح سؤال تکمیلی غلط و توهم اطلاعات", 'تست کور'!I25="سؤال تکمیلی نامربوط/توهم", 'تست کور'!I25="سکوت اشتباه در ابهام"), 0, IF(OR('تست کور'!J25="از قلم افتادن بخش دوم در جمله مرکب", 'تست کور'!I25="عدم تفکیک رویدادها"), 3, IF('تست کور'!I25="قبولی مشروط (Conditional)", 11, 8)))))</f>
        <v/>
      </c>
      <c r="H25" s="10">
        <f>IF(C25="", "", C25+D25+E25+F25+G25)</f>
        <v/>
      </c>
      <c r="I25" s="12">
        <f>IF(H25="", "در انتظار آزمون", IF(H25&gt;=85, "قبولی ممتاز (Passed)", IF(H25&gt;=70, "قبولی متوسط (Acceptable)", IF(H25&gt;=50, "نیازمند بازآموزی (Retrain)", "مردود (Failed)"))))</f>
        <v/>
      </c>
      <c r="J25" s="12">
        <f>IF('تست کور'!I25="", "تست نشده", 'تست کور'!I25)</f>
        <v/>
      </c>
    </row>
    <row r="26">
      <c r="A26" s="12">
        <f>'تست کور'!A26</f>
        <v/>
      </c>
      <c r="B26" s="12">
        <f>'تست کور'!B26</f>
        <v/>
      </c>
      <c r="C26" s="10">
        <f>IF(OR('تست کور'!I26="", 'تست کور'!I26="امتناع درست — قاعده‌اش در این فاز ساخته نشده"), "", IF('تست کور'!I26="قبولی کامل (Pass)", 25, IF('تست کور'!J26="خطا در تشخیص ماهیت رویداد", 0, IF('تست کور'!I26="قبولی مشروط (Conditional)", 20, 15))))</f>
        <v/>
      </c>
      <c r="D26" s="10">
        <f>IF(OR('تست کور'!I26="", 'تست کور'!I26="امتناع درست — قاعده‌اش در این فاز ساخته نشده"), "", IF('تست کور'!I26="قبولی کامل (Pass)", 25, IF(OR('تست کور'!J26="جابجایی یا اشتباه بدهکار/بستانکار", 'تست کور'!I26="خطا در تشخیص سرفصل"), 0, IF('تست کور'!I26="قبولی مشروط (Conditional)", 18, 10))))</f>
        <v/>
      </c>
      <c r="E26" s="10">
        <f>IF(OR('تست کور'!I26="", 'تست کور'!I26="امتناع درست — قاعده‌اش در این فاز ساخته نشده"), "", IF('تست کور'!I26="قبولی کامل (Pass)", 20, IF(OR('تست کور'!J26="استخراج اشتباه مبلغ یا ارقام", 'تست کور'!I26="خطا در استخراج مبلغ"), 0, IF('تست کور'!I26="قبولی مشروط (Conditional)", 15, 12))))</f>
        <v/>
      </c>
      <c r="F26" s="10">
        <f>IF(OR('تست کور'!I26="", 'تست کور'!I26="امتناع درست — قاعده‌اش در این فاز ساخته نشده"), "", IF('تست کور'!I26="قبولی کامل (Pass)", 15, IF('تست کور'!J26="عدم تشخیص سررسید یا طرف‌حساب", 0, IF('تست کور'!I26="قبولی مشروط (Conditional)", 11, 10))))</f>
        <v/>
      </c>
      <c r="G26" s="10">
        <f>IF(OR('تست کور'!I26="", 'تست کور'!I26="امتناع درست — قاعده‌اش در این فاز ساخته نشده"), "", IF('تست کور'!I26="قبولی کامل (Pass)", 15, IF(OR('تست کور'!J26="عدم طرح سؤال در سناریوی مبهم", 'تست کور'!J26="طرح سؤال تکمیلی غلط و توهم اطلاعات", 'تست کور'!I26="سؤال تکمیلی نامربوط/توهم", 'تست کور'!I26="سکوت اشتباه در ابهام"), 0, IF(OR('تست کور'!J26="از قلم افتادن بخش دوم در جمله مرکب", 'تست کور'!I26="عدم تفکیک رویدادها"), 3, IF('تست کور'!I26="قبولی مشروط (Conditional)", 11, 8)))))</f>
        <v/>
      </c>
      <c r="H26" s="10">
        <f>IF(C26="", "", C26+D26+E26+F26+G26)</f>
        <v/>
      </c>
      <c r="I26" s="12">
        <f>IF(H26="", "در انتظار آزمون", IF(H26&gt;=85, "قبولی ممتاز (Passed)", IF(H26&gt;=70, "قبولی متوسط (Acceptable)", IF(H26&gt;=50, "نیازمند بازآموزی (Retrain)", "مردود (Failed)"))))</f>
        <v/>
      </c>
      <c r="J26" s="12">
        <f>IF('تست کور'!I26="", "تست نشده", 'تست کور'!I26)</f>
        <v/>
      </c>
    </row>
    <row r="27">
      <c r="A27" s="12">
        <f>'تست کور'!A27</f>
        <v/>
      </c>
      <c r="B27" s="12">
        <f>'تست کور'!B27</f>
        <v/>
      </c>
      <c r="C27" s="10">
        <f>IF(OR('تست کور'!I27="", 'تست کور'!I27="امتناع درست — قاعده‌اش در این فاز ساخته نشده"), "", IF('تست کور'!I27="قبولی کامل (Pass)", 25, IF('تست کور'!J27="خطا در تشخیص ماهیت رویداد", 0, IF('تست کور'!I27="قبولی مشروط (Conditional)", 20, 15))))</f>
        <v/>
      </c>
      <c r="D27" s="10">
        <f>IF(OR('تست کور'!I27="", 'تست کور'!I27="امتناع درست — قاعده‌اش در این فاز ساخته نشده"), "", IF('تست کور'!I27="قبولی کامل (Pass)", 25, IF(OR('تست کور'!J27="جابجایی یا اشتباه بدهکار/بستانکار", 'تست کور'!I27="خطا در تشخیص سرفصل"), 0, IF('تست کور'!I27="قبولی مشروط (Conditional)", 18, 10))))</f>
        <v/>
      </c>
      <c r="E27" s="10">
        <f>IF(OR('تست کور'!I27="", 'تست کور'!I27="امتناع درست — قاعده‌اش در این فاز ساخته نشده"), "", IF('تست کور'!I27="قبولی کامل (Pass)", 20, IF(OR('تست کور'!J27="استخراج اشتباه مبلغ یا ارقام", 'تست کور'!I27="خطا در استخراج مبلغ"), 0, IF('تست کور'!I27="قبولی مشروط (Conditional)", 15, 12))))</f>
        <v/>
      </c>
      <c r="F27" s="10">
        <f>IF(OR('تست کور'!I27="", 'تست کور'!I27="امتناع درست — قاعده‌اش در این فاز ساخته نشده"), "", IF('تست کور'!I27="قبولی کامل (Pass)", 15, IF('تست کور'!J27="عدم تشخیص سررسید یا طرف‌حساب", 0, IF('تست کور'!I27="قبولی مشروط (Conditional)", 11, 10))))</f>
        <v/>
      </c>
      <c r="G27" s="10">
        <f>IF(OR('تست کور'!I27="", 'تست کور'!I27="امتناع درست — قاعده‌اش در این فاز ساخته نشده"), "", IF('تست کور'!I27="قبولی کامل (Pass)", 15, IF(OR('تست کور'!J27="عدم طرح سؤال در سناریوی مبهم", 'تست کور'!J27="طرح سؤال تکمیلی غلط و توهم اطلاعات", 'تست کور'!I27="سؤال تکمیلی نامربوط/توهم", 'تست کور'!I27="سکوت اشتباه در ابهام"), 0, IF(OR('تست کور'!J27="از قلم افتادن بخش دوم در جمله مرکب", 'تست کور'!I27="عدم تفکیک رویدادها"), 3, IF('تست کور'!I27="قبولی مشروط (Conditional)", 11, 8)))))</f>
        <v/>
      </c>
      <c r="H27" s="10">
        <f>IF(C27="", "", C27+D27+E27+F27+G27)</f>
        <v/>
      </c>
      <c r="I27" s="12">
        <f>IF(H27="", "در انتظار آزمون", IF(H27&gt;=85, "قبولی ممتاز (Passed)", IF(H27&gt;=70, "قبولی متوسط (Acceptable)", IF(H27&gt;=50, "نیازمند بازآموزی (Retrain)", "مردود (Failed)"))))</f>
        <v/>
      </c>
      <c r="J27" s="12">
        <f>IF('تست کور'!I27="", "تست نشده", 'تست کور'!I27)</f>
        <v/>
      </c>
    </row>
    <row r="28">
      <c r="A28" s="12">
        <f>'تست کور'!A28</f>
        <v/>
      </c>
      <c r="B28" s="12">
        <f>'تست کور'!B28</f>
        <v/>
      </c>
      <c r="C28" s="10">
        <f>IF(OR('تست کور'!I28="", 'تست کور'!I28="امتناع درست — قاعده‌اش در این فاز ساخته نشده"), "", IF('تست کور'!I28="قبولی کامل (Pass)", 25, IF('تست کور'!J28="خطا در تشخیص ماهیت رویداد", 0, IF('تست کور'!I28="قبولی مشروط (Conditional)", 20, 15))))</f>
        <v/>
      </c>
      <c r="D28" s="10">
        <f>IF(OR('تست کور'!I28="", 'تست کور'!I28="امتناع درست — قاعده‌اش در این فاز ساخته نشده"), "", IF('تست کور'!I28="قبولی کامل (Pass)", 25, IF(OR('تست کور'!J28="جابجایی یا اشتباه بدهکار/بستانکار", 'تست کور'!I28="خطا در تشخیص سرفصل"), 0, IF('تست کور'!I28="قبولی مشروط (Conditional)", 18, 10))))</f>
        <v/>
      </c>
      <c r="E28" s="10">
        <f>IF(OR('تست کور'!I28="", 'تست کور'!I28="امتناع درست — قاعده‌اش در این فاز ساخته نشده"), "", IF('تست کور'!I28="قبولی کامل (Pass)", 20, IF(OR('تست کور'!J28="استخراج اشتباه مبلغ یا ارقام", 'تست کور'!I28="خطا در استخراج مبلغ"), 0, IF('تست کور'!I28="قبولی مشروط (Conditional)", 15, 12))))</f>
        <v/>
      </c>
      <c r="F28" s="10">
        <f>IF(OR('تست کور'!I28="", 'تست کور'!I28="امتناع درست — قاعده‌اش در این فاز ساخته نشده"), "", IF('تست کور'!I28="قبولی کامل (Pass)", 15, IF('تست کور'!J28="عدم تشخیص سررسید یا طرف‌حساب", 0, IF('تست کور'!I28="قبولی مشروط (Conditional)", 11, 10))))</f>
        <v/>
      </c>
      <c r="G28" s="10">
        <f>IF(OR('تست کور'!I28="", 'تست کور'!I28="امتناع درست — قاعده‌اش در این فاز ساخته نشده"), "", IF('تست کور'!I28="قبولی کامل (Pass)", 15, IF(OR('تست کور'!J28="عدم طرح سؤال در سناریوی مبهم", 'تست کور'!J28="طرح سؤال تکمیلی غلط و توهم اطلاعات", 'تست کور'!I28="سؤال تکمیلی نامربوط/توهم", 'تست کور'!I28="سکوت اشتباه در ابهام"), 0, IF(OR('تست کور'!J28="از قلم افتادن بخش دوم در جمله مرکب", 'تست کور'!I28="عدم تفکیک رویدادها"), 3, IF('تست کور'!I28="قبولی مشروط (Conditional)", 11, 8)))))</f>
        <v/>
      </c>
      <c r="H28" s="10">
        <f>IF(C28="", "", C28+D28+E28+F28+G28)</f>
        <v/>
      </c>
      <c r="I28" s="12">
        <f>IF(H28="", "در انتظار آزمون", IF(H28&gt;=85, "قبولی ممتاز (Passed)", IF(H28&gt;=70, "قبولی متوسط (Acceptable)", IF(H28&gt;=50, "نیازمند بازآموزی (Retrain)", "مردود (Failed)"))))</f>
        <v/>
      </c>
      <c r="J28" s="12">
        <f>IF('تست کور'!I28="", "تست نشده", 'تست کور'!I28)</f>
        <v/>
      </c>
    </row>
    <row r="29">
      <c r="A29" s="12">
        <f>'تست کور'!A29</f>
        <v/>
      </c>
      <c r="B29" s="12">
        <f>'تست کور'!B29</f>
        <v/>
      </c>
      <c r="C29" s="10">
        <f>IF(OR('تست کور'!I29="", 'تست کور'!I29="امتناع درست — قاعده‌اش در این فاز ساخته نشده"), "", IF('تست کور'!I29="قبولی کامل (Pass)", 25, IF('تست کور'!J29="خطا در تشخیص ماهیت رویداد", 0, IF('تست کور'!I29="قبولی مشروط (Conditional)", 20, 15))))</f>
        <v/>
      </c>
      <c r="D29" s="10">
        <f>IF(OR('تست کور'!I29="", 'تست کور'!I29="امتناع درست — قاعده‌اش در این فاز ساخته نشده"), "", IF('تست کور'!I29="قبولی کامل (Pass)", 25, IF(OR('تست کور'!J29="جابجایی یا اشتباه بدهکار/بستانکار", 'تست کور'!I29="خطا در تشخیص سرفصل"), 0, IF('تست کور'!I29="قبولی مشروط (Conditional)", 18, 10))))</f>
        <v/>
      </c>
      <c r="E29" s="10">
        <f>IF(OR('تست کور'!I29="", 'تست کور'!I29="امتناع درست — قاعده‌اش در این فاز ساخته نشده"), "", IF('تست کور'!I29="قبولی کامل (Pass)", 20, IF(OR('تست کور'!J29="استخراج اشتباه مبلغ یا ارقام", 'تست کور'!I29="خطا در استخراج مبلغ"), 0, IF('تست کور'!I29="قبولی مشروط (Conditional)", 15, 12))))</f>
        <v/>
      </c>
      <c r="F29" s="10">
        <f>IF(OR('تست کور'!I29="", 'تست کور'!I29="امتناع درست — قاعده‌اش در این فاز ساخته نشده"), "", IF('تست کور'!I29="قبولی کامل (Pass)", 15, IF('تست کور'!J29="عدم تشخیص سررسید یا طرف‌حساب", 0, IF('تست کور'!I29="قبولی مشروط (Conditional)", 11, 10))))</f>
        <v/>
      </c>
      <c r="G29" s="10">
        <f>IF(OR('تست کور'!I29="", 'تست کور'!I29="امتناع درست — قاعده‌اش در این فاز ساخته نشده"), "", IF('تست کور'!I29="قبولی کامل (Pass)", 15, IF(OR('تست کور'!J29="عدم طرح سؤال در سناریوی مبهم", 'تست کور'!J29="طرح سؤال تکمیلی غلط و توهم اطلاعات", 'تست کور'!I29="سؤال تکمیلی نامربوط/توهم", 'تست کور'!I29="سکوت اشتباه در ابهام"), 0, IF(OR('تست کور'!J29="از قلم افتادن بخش دوم در جمله مرکب", 'تست کور'!I29="عدم تفکیک رویدادها"), 3, IF('تست کور'!I29="قبولی مشروط (Conditional)", 11, 8)))))</f>
        <v/>
      </c>
      <c r="H29" s="10">
        <f>IF(C29="", "", C29+D29+E29+F29+G29)</f>
        <v/>
      </c>
      <c r="I29" s="12">
        <f>IF(H29="", "در انتظار آزمون", IF(H29&gt;=85, "قبولی ممتاز (Passed)", IF(H29&gt;=70, "قبولی متوسط (Acceptable)", IF(H29&gt;=50, "نیازمند بازآموزی (Retrain)", "مردود (Failed)"))))</f>
        <v/>
      </c>
      <c r="J29" s="12">
        <f>IF('تست کور'!I29="", "تست نشده", 'تست کور'!I29)</f>
        <v/>
      </c>
    </row>
    <row r="30">
      <c r="A30" s="12">
        <f>'تست کور'!A30</f>
        <v/>
      </c>
      <c r="B30" s="12">
        <f>'تست کور'!B30</f>
        <v/>
      </c>
      <c r="C30" s="10">
        <f>IF(OR('تست کور'!I30="", 'تست کور'!I30="امتناع درست — قاعده‌اش در این فاز ساخته نشده"), "", IF('تست کور'!I30="قبولی کامل (Pass)", 25, IF('تست کور'!J30="خطا در تشخیص ماهیت رویداد", 0, IF('تست کور'!I30="قبولی مشروط (Conditional)", 20, 15))))</f>
        <v/>
      </c>
      <c r="D30" s="10">
        <f>IF(OR('تست کور'!I30="", 'تست کور'!I30="امتناع درست — قاعده‌اش در این فاز ساخته نشده"), "", IF('تست کور'!I30="قبولی کامل (Pass)", 25, IF(OR('تست کور'!J30="جابجایی یا اشتباه بدهکار/بستانکار", 'تست کور'!I30="خطا در تشخیص سرفصل"), 0, IF('تست کور'!I30="قبولی مشروط (Conditional)", 18, 10))))</f>
        <v/>
      </c>
      <c r="E30" s="10">
        <f>IF(OR('تست کور'!I30="", 'تست کور'!I30="امتناع درست — قاعده‌اش در این فاز ساخته نشده"), "", IF('تست کور'!I30="قبولی کامل (Pass)", 20, IF(OR('تست کور'!J30="استخراج اشتباه مبلغ یا ارقام", 'تست کور'!I30="خطا در استخراج مبلغ"), 0, IF('تست کور'!I30="قبولی مشروط (Conditional)", 15, 12))))</f>
        <v/>
      </c>
      <c r="F30" s="10">
        <f>IF(OR('تست کور'!I30="", 'تست کور'!I30="امتناع درست — قاعده‌اش در این فاز ساخته نشده"), "", IF('تست کور'!I30="قبولی کامل (Pass)", 15, IF('تست کور'!J30="عدم تشخیص سررسید یا طرف‌حساب", 0, IF('تست کور'!I30="قبولی مشروط (Conditional)", 11, 10))))</f>
        <v/>
      </c>
      <c r="G30" s="10">
        <f>IF(OR('تست کور'!I30="", 'تست کور'!I30="امتناع درست — قاعده‌اش در این فاز ساخته نشده"), "", IF('تست کور'!I30="قبولی کامل (Pass)", 15, IF(OR('تست کور'!J30="عدم طرح سؤال در سناریوی مبهم", 'تست کور'!J30="طرح سؤال تکمیلی غلط و توهم اطلاعات", 'تست کور'!I30="سؤال تکمیلی نامربوط/توهم", 'تست کور'!I30="سکوت اشتباه در ابهام"), 0, IF(OR('تست کور'!J30="از قلم افتادن بخش دوم در جمله مرکب", 'تست کور'!I30="عدم تفکیک رویدادها"), 3, IF('تست کور'!I30="قبولی مشروط (Conditional)", 11, 8)))))</f>
        <v/>
      </c>
      <c r="H30" s="10">
        <f>IF(C30="", "", C30+D30+E30+F30+G30)</f>
        <v/>
      </c>
      <c r="I30" s="12">
        <f>IF(H30="", "در انتظار آزمون", IF(H30&gt;=85, "قبولی ممتاز (Passed)", IF(H30&gt;=70, "قبولی متوسط (Acceptable)", IF(H30&gt;=50, "نیازمند بازآموزی (Retrain)", "مردود (Failed)"))))</f>
        <v/>
      </c>
      <c r="J30" s="12">
        <f>IF('تست کور'!I30="", "تست نشده", 'تست کور'!I30)</f>
        <v/>
      </c>
    </row>
    <row r="31">
      <c r="A31" s="12">
        <f>'تست کور'!A31</f>
        <v/>
      </c>
      <c r="B31" s="12">
        <f>'تست کور'!B31</f>
        <v/>
      </c>
      <c r="C31" s="10">
        <f>IF(OR('تست کور'!I31="", 'تست کور'!I31="امتناع درست — قاعده‌اش در این فاز ساخته نشده"), "", IF('تست کور'!I31="قبولی کامل (Pass)", 25, IF('تست کور'!J31="خطا در تشخیص ماهیت رویداد", 0, IF('تست کور'!I31="قبولی مشروط (Conditional)", 20, 15))))</f>
        <v/>
      </c>
      <c r="D31" s="10">
        <f>IF(OR('تست کور'!I31="", 'تست کور'!I31="امتناع درست — قاعده‌اش در این فاز ساخته نشده"), "", IF('تست کور'!I31="قبولی کامل (Pass)", 25, IF(OR('تست کور'!J31="جابجایی یا اشتباه بدهکار/بستانکار", 'تست کور'!I31="خطا در تشخیص سرفصل"), 0, IF('تست کور'!I31="قبولی مشروط (Conditional)", 18, 10))))</f>
        <v/>
      </c>
      <c r="E31" s="10">
        <f>IF(OR('تست کور'!I31="", 'تست کور'!I31="امتناع درست — قاعده‌اش در این فاز ساخته نشده"), "", IF('تست کور'!I31="قبولی کامل (Pass)", 20, IF(OR('تست کور'!J31="استخراج اشتباه مبلغ یا ارقام", 'تست کور'!I31="خطا در استخراج مبلغ"), 0, IF('تست کور'!I31="قبولی مشروط (Conditional)", 15, 12))))</f>
        <v/>
      </c>
      <c r="F31" s="10">
        <f>IF(OR('تست کور'!I31="", 'تست کور'!I31="امتناع درست — قاعده‌اش در این فاز ساخته نشده"), "", IF('تست کور'!I31="قبولی کامل (Pass)", 15, IF('تست کور'!J31="عدم تشخیص سررسید یا طرف‌حساب", 0, IF('تست کور'!I31="قبولی مشروط (Conditional)", 11, 10))))</f>
        <v/>
      </c>
      <c r="G31" s="10">
        <f>IF(OR('تست کور'!I31="", 'تست کور'!I31="امتناع درست — قاعده‌اش در این فاز ساخته نشده"), "", IF('تست کور'!I31="قبولی کامل (Pass)", 15, IF(OR('تست کور'!J31="عدم طرح سؤال در سناریوی مبهم", 'تست کور'!J31="طرح سؤال تکمیلی غلط و توهم اطلاعات", 'تست کور'!I31="سؤال تکمیلی نامربوط/توهم", 'تست کور'!I31="سکوت اشتباه در ابهام"), 0, IF(OR('تست کور'!J31="از قلم افتادن بخش دوم در جمله مرکب", 'تست کور'!I31="عدم تفکیک رویدادها"), 3, IF('تست کور'!I31="قبولی مشروط (Conditional)", 11, 8)))))</f>
        <v/>
      </c>
      <c r="H31" s="10">
        <f>IF(C31="", "", C31+D31+E31+F31+G31)</f>
        <v/>
      </c>
      <c r="I31" s="12">
        <f>IF(H31="", "در انتظار آزمون", IF(H31&gt;=85, "قبولی ممتاز (Passed)", IF(H31&gt;=70, "قبولی متوسط (Acceptable)", IF(H31&gt;=50, "نیازمند بازآموزی (Retrain)", "مردود (Failed)"))))</f>
        <v/>
      </c>
      <c r="J31" s="12">
        <f>IF('تست کور'!I31="", "تست نشده", 'تست کور'!I31)</f>
        <v/>
      </c>
    </row>
    <row r="32">
      <c r="A32" s="12">
        <f>'تست کور'!A32</f>
        <v/>
      </c>
      <c r="B32" s="12">
        <f>'تست کور'!B32</f>
        <v/>
      </c>
      <c r="C32" s="10">
        <f>IF(OR('تست کور'!I32="", 'تست کور'!I32="امتناع درست — قاعده‌اش در این فاز ساخته نشده"), "", IF('تست کور'!I32="قبولی کامل (Pass)", 25, IF('تست کور'!J32="خطا در تشخیص ماهیت رویداد", 0, IF('تست کور'!I32="قبولی مشروط (Conditional)", 20, 15))))</f>
        <v/>
      </c>
      <c r="D32" s="10">
        <f>IF(OR('تست کور'!I32="", 'تست کور'!I32="امتناع درست — قاعده‌اش در این فاز ساخته نشده"), "", IF('تست کور'!I32="قبولی کامل (Pass)", 25, IF(OR('تست کور'!J32="جابجایی یا اشتباه بدهکار/بستانکار", 'تست کور'!I32="خطا در تشخیص سرفصل"), 0, IF('تست کور'!I32="قبولی مشروط (Conditional)", 18, 10))))</f>
        <v/>
      </c>
      <c r="E32" s="10">
        <f>IF(OR('تست کور'!I32="", 'تست کور'!I32="امتناع درست — قاعده‌اش در این فاز ساخته نشده"), "", IF('تست کور'!I32="قبولی کامل (Pass)", 20, IF(OR('تست کور'!J32="استخراج اشتباه مبلغ یا ارقام", 'تست کور'!I32="خطا در استخراج مبلغ"), 0, IF('تست کور'!I32="قبولی مشروط (Conditional)", 15, 12))))</f>
        <v/>
      </c>
      <c r="F32" s="10">
        <f>IF(OR('تست کور'!I32="", 'تست کور'!I32="امتناع درست — قاعده‌اش در این فاز ساخته نشده"), "", IF('تست کور'!I32="قبولی کامل (Pass)", 15, IF('تست کور'!J32="عدم تشخیص سررسید یا طرف‌حساب", 0, IF('تست کور'!I32="قبولی مشروط (Conditional)", 11, 10))))</f>
        <v/>
      </c>
      <c r="G32" s="10">
        <f>IF(OR('تست کور'!I32="", 'تست کور'!I32="امتناع درست — قاعده‌اش در این فاز ساخته نشده"), "", IF('تست کور'!I32="قبولی کامل (Pass)", 15, IF(OR('تست کور'!J32="عدم طرح سؤال در سناریوی مبهم", 'تست کور'!J32="طرح سؤال تکمیلی غلط و توهم اطلاعات", 'تست کور'!I32="سؤال تکمیلی نامربوط/توهم", 'تست کور'!I32="سکوت اشتباه در ابهام"), 0, IF(OR('تست کور'!J32="از قلم افتادن بخش دوم در جمله مرکب", 'تست کور'!I32="عدم تفکیک رویدادها"), 3, IF('تست کور'!I32="قبولی مشروط (Conditional)", 11, 8)))))</f>
        <v/>
      </c>
      <c r="H32" s="10">
        <f>IF(C32="", "", C32+D32+E32+F32+G32)</f>
        <v/>
      </c>
      <c r="I32" s="12">
        <f>IF(H32="", "در انتظار آزمون", IF(H32&gt;=85, "قبولی ممتاز (Passed)", IF(H32&gt;=70, "قبولی متوسط (Acceptable)", IF(H32&gt;=50, "نیازمند بازآموزی (Retrain)", "مردود (Failed)"))))</f>
        <v/>
      </c>
      <c r="J32" s="12">
        <f>IF('تست کور'!I32="", "تست نشده", 'تست کور'!I32)</f>
        <v/>
      </c>
    </row>
    <row r="33">
      <c r="A33" s="12">
        <f>'تست کور'!A33</f>
        <v/>
      </c>
      <c r="B33" s="12">
        <f>'تست کور'!B33</f>
        <v/>
      </c>
      <c r="C33" s="10">
        <f>IF(OR('تست کور'!I33="", 'تست کور'!I33="امتناع درست — قاعده‌اش در این فاز ساخته نشده"), "", IF('تست کور'!I33="قبولی کامل (Pass)", 25, IF('تست کور'!J33="خطا در تشخیص ماهیت رویداد", 0, IF('تست کور'!I33="قبولی مشروط (Conditional)", 20, 15))))</f>
        <v/>
      </c>
      <c r="D33" s="10">
        <f>IF(OR('تست کور'!I33="", 'تست کور'!I33="امتناع درست — قاعده‌اش در این فاز ساخته نشده"), "", IF('تست کور'!I33="قبولی کامل (Pass)", 25, IF(OR('تست کور'!J33="جابجایی یا اشتباه بدهکار/بستانکار", 'تست کور'!I33="خطا در تشخیص سرفصل"), 0, IF('تست کور'!I33="قبولی مشروط (Conditional)", 18, 10))))</f>
        <v/>
      </c>
      <c r="E33" s="10">
        <f>IF(OR('تست کور'!I33="", 'تست کور'!I33="امتناع درست — قاعده‌اش در این فاز ساخته نشده"), "", IF('تست کور'!I33="قبولی کامل (Pass)", 20, IF(OR('تست کور'!J33="استخراج اشتباه مبلغ یا ارقام", 'تست کور'!I33="خطا در استخراج مبلغ"), 0, IF('تست کور'!I33="قبولی مشروط (Conditional)", 15, 12))))</f>
        <v/>
      </c>
      <c r="F33" s="10">
        <f>IF(OR('تست کور'!I33="", 'تست کور'!I33="امتناع درست — قاعده‌اش در این فاز ساخته نشده"), "", IF('تست کور'!I33="قبولی کامل (Pass)", 15, IF('تست کور'!J33="عدم تشخیص سررسید یا طرف‌حساب", 0, IF('تست کور'!I33="قبولی مشروط (Conditional)", 11, 10))))</f>
        <v/>
      </c>
      <c r="G33" s="10">
        <f>IF(OR('تست کور'!I33="", 'تست کور'!I33="امتناع درست — قاعده‌اش در این فاز ساخته نشده"), "", IF('تست کور'!I33="قبولی کامل (Pass)", 15, IF(OR('تست کور'!J33="عدم طرح سؤال در سناریوی مبهم", 'تست کور'!J33="طرح سؤال تکمیلی غلط و توهم اطلاعات", 'تست کور'!I33="سؤال تکمیلی نامربوط/توهم", 'تست کور'!I33="سکوت اشتباه در ابهام"), 0, IF(OR('تست کور'!J33="از قلم افتادن بخش دوم در جمله مرکب", 'تست کور'!I33="عدم تفکیک رویدادها"), 3, IF('تست کور'!I33="قبولی مشروط (Conditional)", 11, 8)))))</f>
        <v/>
      </c>
      <c r="H33" s="10">
        <f>IF(C33="", "", C33+D33+E33+F33+G33)</f>
        <v/>
      </c>
      <c r="I33" s="12">
        <f>IF(H33="", "در انتظار آزمون", IF(H33&gt;=85, "قبولی ممتاز (Passed)", IF(H33&gt;=70, "قبولی متوسط (Acceptable)", IF(H33&gt;=50, "نیازمند بازآموزی (Retrain)", "مردود (Failed)"))))</f>
        <v/>
      </c>
      <c r="J33" s="12">
        <f>IF('تست کور'!I33="", "تست نشده", 'تست کور'!I33)</f>
        <v/>
      </c>
    </row>
    <row r="34">
      <c r="A34" s="12">
        <f>'تست کور'!A34</f>
        <v/>
      </c>
      <c r="B34" s="12">
        <f>'تست کور'!B34</f>
        <v/>
      </c>
      <c r="C34" s="10">
        <f>IF(OR('تست کور'!I34="", 'تست کور'!I34="امتناع درست — قاعده‌اش در این فاز ساخته نشده"), "", IF('تست کور'!I34="قبولی کامل (Pass)", 25, IF('تست کور'!J34="خطا در تشخیص ماهیت رویداد", 0, IF('تست کور'!I34="قبولی مشروط (Conditional)", 20, 15))))</f>
        <v/>
      </c>
      <c r="D34" s="10">
        <f>IF(OR('تست کور'!I34="", 'تست کور'!I34="امتناع درست — قاعده‌اش در این فاز ساخته نشده"), "", IF('تست کور'!I34="قبولی کامل (Pass)", 25, IF(OR('تست کور'!J34="جابجایی یا اشتباه بدهکار/بستانکار", 'تست کور'!I34="خطا در تشخیص سرفصل"), 0, IF('تست کور'!I34="قبولی مشروط (Conditional)", 18, 10))))</f>
        <v/>
      </c>
      <c r="E34" s="10">
        <f>IF(OR('تست کور'!I34="", 'تست کور'!I34="امتناع درست — قاعده‌اش در این فاز ساخته نشده"), "", IF('تست کور'!I34="قبولی کامل (Pass)", 20, IF(OR('تست کور'!J34="استخراج اشتباه مبلغ یا ارقام", 'تست کور'!I34="خطا در استخراج مبلغ"), 0, IF('تست کور'!I34="قبولی مشروط (Conditional)", 15, 12))))</f>
        <v/>
      </c>
      <c r="F34" s="10">
        <f>IF(OR('تست کور'!I34="", 'تست کور'!I34="امتناع درست — قاعده‌اش در این فاز ساخته نشده"), "", IF('تست کور'!I34="قبولی کامل (Pass)", 15, IF('تست کور'!J34="عدم تشخیص سررسید یا طرف‌حساب", 0, IF('تست کور'!I34="قبولی مشروط (Conditional)", 11, 10))))</f>
        <v/>
      </c>
      <c r="G34" s="10">
        <f>IF(OR('تست کور'!I34="", 'تست کور'!I34="امتناع درست — قاعده‌اش در این فاز ساخته نشده"), "", IF('تست کور'!I34="قبولی کامل (Pass)", 15, IF(OR('تست کور'!J34="عدم طرح سؤال در سناریوی مبهم", 'تست کور'!J34="طرح سؤال تکمیلی غلط و توهم اطلاعات", 'تست کور'!I34="سؤال تکمیلی نامربوط/توهم", 'تست کور'!I34="سکوت اشتباه در ابهام"), 0, IF(OR('تست کور'!J34="از قلم افتادن بخش دوم در جمله مرکب", 'تست کور'!I34="عدم تفکیک رویدادها"), 3, IF('تست کور'!I34="قبولی مشروط (Conditional)", 11, 8)))))</f>
        <v/>
      </c>
      <c r="H34" s="10">
        <f>IF(C34="", "", C34+D34+E34+F34+G34)</f>
        <v/>
      </c>
      <c r="I34" s="12">
        <f>IF(H34="", "در انتظار آزمون", IF(H34&gt;=85, "قبولی ممتاز (Passed)", IF(H34&gt;=70, "قبولی متوسط (Acceptable)", IF(H34&gt;=50, "نیازمند بازآموزی (Retrain)", "مردود (Failed)"))))</f>
        <v/>
      </c>
      <c r="J34" s="12">
        <f>IF('تست کور'!I34="", "تست نشده", 'تست کور'!I34)</f>
        <v/>
      </c>
    </row>
    <row r="35">
      <c r="A35" s="12">
        <f>'تست کور'!A35</f>
        <v/>
      </c>
      <c r="B35" s="12">
        <f>'تست کور'!B35</f>
        <v/>
      </c>
      <c r="C35" s="10">
        <f>IF(OR('تست کور'!I35="", 'تست کور'!I35="امتناع درست — قاعده‌اش در این فاز ساخته نشده"), "", IF('تست کور'!I35="قبولی کامل (Pass)", 25, IF('تست کور'!J35="خطا در تشخیص ماهیت رویداد", 0, IF('تست کور'!I35="قبولی مشروط (Conditional)", 20, 15))))</f>
        <v/>
      </c>
      <c r="D35" s="10">
        <f>IF(OR('تست کور'!I35="", 'تست کور'!I35="امتناع درست — قاعده‌اش در این فاز ساخته نشده"), "", IF('تست کور'!I35="قبولی کامل (Pass)", 25, IF(OR('تست کور'!J35="جابجایی یا اشتباه بدهکار/بستانکار", 'تست کور'!I35="خطا در تشخیص سرفصل"), 0, IF('تست کور'!I35="قبولی مشروط (Conditional)", 18, 10))))</f>
        <v/>
      </c>
      <c r="E35" s="10">
        <f>IF(OR('تست کور'!I35="", 'تست کور'!I35="امتناع درست — قاعده‌اش در این فاز ساخته نشده"), "", IF('تست کور'!I35="قبولی کامل (Pass)", 20, IF(OR('تست کور'!J35="استخراج اشتباه مبلغ یا ارقام", 'تست کور'!I35="خطا در استخراج مبلغ"), 0, IF('تست کور'!I35="قبولی مشروط (Conditional)", 15, 12))))</f>
        <v/>
      </c>
      <c r="F35" s="10">
        <f>IF(OR('تست کور'!I35="", 'تست کور'!I35="امتناع درست — قاعده‌اش در این فاز ساخته نشده"), "", IF('تست کور'!I35="قبولی کامل (Pass)", 15, IF('تست کور'!J35="عدم تشخیص سررسید یا طرف‌حساب", 0, IF('تست کور'!I35="قبولی مشروط (Conditional)", 11, 10))))</f>
        <v/>
      </c>
      <c r="G35" s="10">
        <f>IF(OR('تست کور'!I35="", 'تست کور'!I35="امتناع درست — قاعده‌اش در این فاز ساخته نشده"), "", IF('تست کور'!I35="قبولی کامل (Pass)", 15, IF(OR('تست کور'!J35="عدم طرح سؤال در سناریوی مبهم", 'تست کور'!J35="طرح سؤال تکمیلی غلط و توهم اطلاعات", 'تست کور'!I35="سؤال تکمیلی نامربوط/توهم", 'تست کور'!I35="سکوت اشتباه در ابهام"), 0, IF(OR('تست کور'!J35="از قلم افتادن بخش دوم در جمله مرکب", 'تست کور'!I35="عدم تفکیک رویدادها"), 3, IF('تست کور'!I35="قبولی مشروط (Conditional)", 11, 8)))))</f>
        <v/>
      </c>
      <c r="H35" s="10">
        <f>IF(C35="", "", C35+D35+E35+F35+G35)</f>
        <v/>
      </c>
      <c r="I35" s="12">
        <f>IF(H35="", "در انتظار آزمون", IF(H35&gt;=85, "قبولی ممتاز (Passed)", IF(H35&gt;=70, "قبولی متوسط (Acceptable)", IF(H35&gt;=50, "نیازمند بازآموزی (Retrain)", "مردود (Failed)"))))</f>
        <v/>
      </c>
      <c r="J35" s="12">
        <f>IF('تست کور'!I35="", "تست نشده", 'تست کور'!I35)</f>
        <v/>
      </c>
    </row>
    <row r="36">
      <c r="A36" s="12">
        <f>'تست کور'!A36</f>
        <v/>
      </c>
      <c r="B36" s="12">
        <f>'تست کور'!B36</f>
        <v/>
      </c>
      <c r="C36" s="10">
        <f>IF(OR('تست کور'!I36="", 'تست کور'!I36="امتناع درست — قاعده‌اش در این فاز ساخته نشده"), "", IF('تست کور'!I36="قبولی کامل (Pass)", 25, IF('تست کور'!J36="خطا در تشخیص ماهیت رویداد", 0, IF('تست کور'!I36="قبولی مشروط (Conditional)", 20, 15))))</f>
        <v/>
      </c>
      <c r="D36" s="10">
        <f>IF(OR('تست کور'!I36="", 'تست کور'!I36="امتناع درست — قاعده‌اش در این فاز ساخته نشده"), "", IF('تست کور'!I36="قبولی کامل (Pass)", 25, IF(OR('تست کور'!J36="جابجایی یا اشتباه بدهکار/بستانکار", 'تست کور'!I36="خطا در تشخیص سرفصل"), 0, IF('تست کور'!I36="قبولی مشروط (Conditional)", 18, 10))))</f>
        <v/>
      </c>
      <c r="E36" s="10">
        <f>IF(OR('تست کور'!I36="", 'تست کور'!I36="امتناع درست — قاعده‌اش در این فاز ساخته نشده"), "", IF('تست کور'!I36="قبولی کامل (Pass)", 20, IF(OR('تست کور'!J36="استخراج اشتباه مبلغ یا ارقام", 'تست کور'!I36="خطا در استخراج مبلغ"), 0, IF('تست کور'!I36="قبولی مشروط (Conditional)", 15, 12))))</f>
        <v/>
      </c>
      <c r="F36" s="10">
        <f>IF(OR('تست کور'!I36="", 'تست کور'!I36="امتناع درست — قاعده‌اش در این فاز ساخته نشده"), "", IF('تست کور'!I36="قبولی کامل (Pass)", 15, IF('تست کور'!J36="عدم تشخیص سررسید یا طرف‌حساب", 0, IF('تست کور'!I36="قبولی مشروط (Conditional)", 11, 10))))</f>
        <v/>
      </c>
      <c r="G36" s="10">
        <f>IF(OR('تست کور'!I36="", 'تست کور'!I36="امتناع درست — قاعده‌اش در این فاز ساخته نشده"), "", IF('تست کور'!I36="قبولی کامل (Pass)", 15, IF(OR('تست کور'!J36="عدم طرح سؤال در سناریوی مبهم", 'تست کور'!J36="طرح سؤال تکمیلی غلط و توهم اطلاعات", 'تست کور'!I36="سؤال تکمیلی نامربوط/توهم", 'تست کور'!I36="سکوت اشتباه در ابهام"), 0, IF(OR('تست کور'!J36="از قلم افتادن بخش دوم در جمله مرکب", 'تست کور'!I36="عدم تفکیک رویدادها"), 3, IF('تست کور'!I36="قبولی مشروط (Conditional)", 11, 8)))))</f>
        <v/>
      </c>
      <c r="H36" s="10">
        <f>IF(C36="", "", C36+D36+E36+F36+G36)</f>
        <v/>
      </c>
      <c r="I36" s="12">
        <f>IF(H36="", "در انتظار آزمون", IF(H36&gt;=85, "قبولی ممتاز (Passed)", IF(H36&gt;=70, "قبولی متوسط (Acceptable)", IF(H36&gt;=50, "نیازمند بازآموزی (Retrain)", "مردود (Failed)"))))</f>
        <v/>
      </c>
      <c r="J36" s="12">
        <f>IF('تست کور'!I36="", "تست نشده", 'تست کور'!I36)</f>
        <v/>
      </c>
    </row>
    <row r="37">
      <c r="A37" s="12">
        <f>'تست کور'!A37</f>
        <v/>
      </c>
      <c r="B37" s="12">
        <f>'تست کور'!B37</f>
        <v/>
      </c>
      <c r="C37" s="10">
        <f>IF(OR('تست کور'!I37="", 'تست کور'!I37="امتناع درست — قاعده‌اش در این فاز ساخته نشده"), "", IF('تست کور'!I37="قبولی کامل (Pass)", 25, IF('تست کور'!J37="خطا در تشخیص ماهیت رویداد", 0, IF('تست کور'!I37="قبولی مشروط (Conditional)", 20, 15))))</f>
        <v/>
      </c>
      <c r="D37" s="10">
        <f>IF(OR('تست کور'!I37="", 'تست کور'!I37="امتناع درست — قاعده‌اش در این فاز ساخته نشده"), "", IF('تست کور'!I37="قبولی کامل (Pass)", 25, IF(OR('تست کور'!J37="جابجایی یا اشتباه بدهکار/بستانکار", 'تست کور'!I37="خطا در تشخیص سرفصل"), 0, IF('تست کور'!I37="قبولی مشروط (Conditional)", 18, 10))))</f>
        <v/>
      </c>
      <c r="E37" s="10">
        <f>IF(OR('تست کور'!I37="", 'تست کور'!I37="امتناع درست — قاعده‌اش در این فاز ساخته نشده"), "", IF('تست کور'!I37="قبولی کامل (Pass)", 20, IF(OR('تست کور'!J37="استخراج اشتباه مبلغ یا ارقام", 'تست کور'!I37="خطا در استخراج مبلغ"), 0, IF('تست کور'!I37="قبولی مشروط (Conditional)", 15, 12))))</f>
        <v/>
      </c>
      <c r="F37" s="10">
        <f>IF(OR('تست کور'!I37="", 'تست کور'!I37="امتناع درست — قاعده‌اش در این فاز ساخته نشده"), "", IF('تست کور'!I37="قبولی کامل (Pass)", 15, IF('تست کور'!J37="عدم تشخیص سررسید یا طرف‌حساب", 0, IF('تست کور'!I37="قبولی مشروط (Conditional)", 11, 10))))</f>
        <v/>
      </c>
      <c r="G37" s="10">
        <f>IF(OR('تست کور'!I37="", 'تست کور'!I37="امتناع درست — قاعده‌اش در این فاز ساخته نشده"), "", IF('تست کور'!I37="قبولی کامل (Pass)", 15, IF(OR('تست کور'!J37="عدم طرح سؤال در سناریوی مبهم", 'تست کور'!J37="طرح سؤال تکمیلی غلط و توهم اطلاعات", 'تست کور'!I37="سؤال تکمیلی نامربوط/توهم", 'تست کور'!I37="سکوت اشتباه در ابهام"), 0, IF(OR('تست کور'!J37="از قلم افتادن بخش دوم در جمله مرکب", 'تست کور'!I37="عدم تفکیک رویدادها"), 3, IF('تست کور'!I37="قبولی مشروط (Conditional)", 11, 8)))))</f>
        <v/>
      </c>
      <c r="H37" s="10">
        <f>IF(C37="", "", C37+D37+E37+F37+G37)</f>
        <v/>
      </c>
      <c r="I37" s="12">
        <f>IF(H37="", "در انتظار آزمون", IF(H37&gt;=85, "قبولی ممتاز (Passed)", IF(H37&gt;=70, "قبولی متوسط (Acceptable)", IF(H37&gt;=50, "نیازمند بازآموزی (Retrain)", "مردود (Failed)"))))</f>
        <v/>
      </c>
      <c r="J37" s="12">
        <f>IF('تست کور'!I37="", "تست نشده", 'تست کور'!I37)</f>
        <v/>
      </c>
    </row>
    <row r="38">
      <c r="A38" s="12">
        <f>'تست کور'!A38</f>
        <v/>
      </c>
      <c r="B38" s="12">
        <f>'تست کور'!B38</f>
        <v/>
      </c>
      <c r="C38" s="10">
        <f>IF(OR('تست کور'!I38="", 'تست کور'!I38="امتناع درست — قاعده‌اش در این فاز ساخته نشده"), "", IF('تست کور'!I38="قبولی کامل (Pass)", 25, IF('تست کور'!J38="خطا در تشخیص ماهیت رویداد", 0, IF('تست کور'!I38="قبولی مشروط (Conditional)", 20, 15))))</f>
        <v/>
      </c>
      <c r="D38" s="10">
        <f>IF(OR('تست کور'!I38="", 'تست کور'!I38="امتناع درست — قاعده‌اش در این فاز ساخته نشده"), "", IF('تست کور'!I38="قبولی کامل (Pass)", 25, IF(OR('تست کور'!J38="جابجایی یا اشتباه بدهکار/بستانکار", 'تست کور'!I38="خطا در تشخیص سرفصل"), 0, IF('تست کور'!I38="قبولی مشروط (Conditional)", 18, 10))))</f>
        <v/>
      </c>
      <c r="E38" s="10">
        <f>IF(OR('تست کور'!I38="", 'تست کور'!I38="امتناع درست — قاعده‌اش در این فاز ساخته نشده"), "", IF('تست کور'!I38="قبولی کامل (Pass)", 20, IF(OR('تست کور'!J38="استخراج اشتباه مبلغ یا ارقام", 'تست کور'!I38="خطا در استخراج مبلغ"), 0, IF('تست کور'!I38="قبولی مشروط (Conditional)", 15, 12))))</f>
        <v/>
      </c>
      <c r="F38" s="10">
        <f>IF(OR('تست کور'!I38="", 'تست کور'!I38="امتناع درست — قاعده‌اش در این فاز ساخته نشده"), "", IF('تست کور'!I38="قبولی کامل (Pass)", 15, IF('تست کور'!J38="عدم تشخیص سررسید یا طرف‌حساب", 0, IF('تست کور'!I38="قبولی مشروط (Conditional)", 11, 10))))</f>
        <v/>
      </c>
      <c r="G38" s="10">
        <f>IF(OR('تست کور'!I38="", 'تست کور'!I38="امتناع درست — قاعده‌اش در این فاز ساخته نشده"), "", IF('تست کور'!I38="قبولی کامل (Pass)", 15, IF(OR('تست کور'!J38="عدم طرح سؤال در سناریوی مبهم", 'تست کور'!J38="طرح سؤال تکمیلی غلط و توهم اطلاعات", 'تست کور'!I38="سؤال تکمیلی نامربوط/توهم", 'تست کور'!I38="سکوت اشتباه در ابهام"), 0, IF(OR('تست کور'!J38="از قلم افتادن بخش دوم در جمله مرکب", 'تست کور'!I38="عدم تفکیک رویدادها"), 3, IF('تست کور'!I38="قبولی مشروط (Conditional)", 11, 8)))))</f>
        <v/>
      </c>
      <c r="H38" s="10">
        <f>IF(C38="", "", C38+D38+E38+F38+G38)</f>
        <v/>
      </c>
      <c r="I38" s="12">
        <f>IF(H38="", "در انتظار آزمون", IF(H38&gt;=85, "قبولی ممتاز (Passed)", IF(H38&gt;=70, "قبولی متوسط (Acceptable)", IF(H38&gt;=50, "نیازمند بازآموزی (Retrain)", "مردود (Failed)"))))</f>
        <v/>
      </c>
      <c r="J38" s="12">
        <f>IF('تست کور'!I38="", "تست نشده", 'تست کور'!I38)</f>
        <v/>
      </c>
    </row>
    <row r="39">
      <c r="A39" s="12">
        <f>'تست کور'!A39</f>
        <v/>
      </c>
      <c r="B39" s="12">
        <f>'تست کور'!B39</f>
        <v/>
      </c>
      <c r="C39" s="10">
        <f>IF(OR('تست کور'!I39="", 'تست کور'!I39="امتناع درست — قاعده‌اش در این فاز ساخته نشده"), "", IF('تست کور'!I39="قبولی کامل (Pass)", 25, IF('تست کور'!J39="خطا در تشخیص ماهیت رویداد", 0, IF('تست کور'!I39="قبولی مشروط (Conditional)", 20, 15))))</f>
        <v/>
      </c>
      <c r="D39" s="10">
        <f>IF(OR('تست کور'!I39="", 'تست کور'!I39="امتناع درست — قاعده‌اش در این فاز ساخته نشده"), "", IF('تست کور'!I39="قبولی کامل (Pass)", 25, IF(OR('تست کور'!J39="جابجایی یا اشتباه بدهکار/بستانکار", 'تست کور'!I39="خطا در تشخیص سرفصل"), 0, IF('تست کور'!I39="قبولی مشروط (Conditional)", 18, 10))))</f>
        <v/>
      </c>
      <c r="E39" s="10">
        <f>IF(OR('تست کور'!I39="", 'تست کور'!I39="امتناع درست — قاعده‌اش در این فاز ساخته نشده"), "", IF('تست کور'!I39="قبولی کامل (Pass)", 20, IF(OR('تست کور'!J39="استخراج اشتباه مبلغ یا ارقام", 'تست کور'!I39="خطا در استخراج مبلغ"), 0, IF('تست کور'!I39="قبولی مشروط (Conditional)", 15, 12))))</f>
        <v/>
      </c>
      <c r="F39" s="10">
        <f>IF(OR('تست کور'!I39="", 'تست کور'!I39="امتناع درست — قاعده‌اش در این فاز ساخته نشده"), "", IF('تست کور'!I39="قبولی کامل (Pass)", 15, IF('تست کور'!J39="عدم تشخیص سررسید یا طرف‌حساب", 0, IF('تست کور'!I39="قبولی مشروط (Conditional)", 11, 10))))</f>
        <v/>
      </c>
      <c r="G39" s="10">
        <f>IF(OR('تست کور'!I39="", 'تست کور'!I39="امتناع درست — قاعده‌اش در این فاز ساخته نشده"), "", IF('تست کور'!I39="قبولی کامل (Pass)", 15, IF(OR('تست کور'!J39="عدم طرح سؤال در سناریوی مبهم", 'تست کور'!J39="طرح سؤال تکمیلی غلط و توهم اطلاعات", 'تست کور'!I39="سؤال تکمیلی نامربوط/توهم", 'تست کور'!I39="سکوت اشتباه در ابهام"), 0, IF(OR('تست کور'!J39="از قلم افتادن بخش دوم در جمله مرکب", 'تست کور'!I39="عدم تفکیک رویدادها"), 3, IF('تست کور'!I39="قبولی مشروط (Conditional)", 11, 8)))))</f>
        <v/>
      </c>
      <c r="H39" s="10">
        <f>IF(C39="", "", C39+D39+E39+F39+G39)</f>
        <v/>
      </c>
      <c r="I39" s="12">
        <f>IF(H39="", "در انتظار آزمون", IF(H39&gt;=85, "قبولی ممتاز (Passed)", IF(H39&gt;=70, "قبولی متوسط (Acceptable)", IF(H39&gt;=50, "نیازمند بازآموزی (Retrain)", "مردود (Failed)"))))</f>
        <v/>
      </c>
      <c r="J39" s="12">
        <f>IF('تست کور'!I39="", "تست نشده", 'تست کور'!I39)</f>
        <v/>
      </c>
    </row>
    <row r="40">
      <c r="A40" s="12">
        <f>'تست کور'!A40</f>
        <v/>
      </c>
      <c r="B40" s="12">
        <f>'تست کور'!B40</f>
        <v/>
      </c>
      <c r="C40" s="10">
        <f>IF(OR('تست کور'!I40="", 'تست کور'!I40="امتناع درست — قاعده‌اش در این فاز ساخته نشده"), "", IF('تست کور'!I40="قبولی کامل (Pass)", 25, IF('تست کور'!J40="خطا در تشخیص ماهیت رویداد", 0, IF('تست کور'!I40="قبولی مشروط (Conditional)", 20, 15))))</f>
        <v/>
      </c>
      <c r="D40" s="10">
        <f>IF(OR('تست کور'!I40="", 'تست کور'!I40="امتناع درست — قاعده‌اش در این فاز ساخته نشده"), "", IF('تست کور'!I40="قبولی کامل (Pass)", 25, IF(OR('تست کور'!J40="جابجایی یا اشتباه بدهکار/بستانکار", 'تست کور'!I40="خطا در تشخیص سرفصل"), 0, IF('تست کور'!I40="قبولی مشروط (Conditional)", 18, 10))))</f>
        <v/>
      </c>
      <c r="E40" s="10">
        <f>IF(OR('تست کور'!I40="", 'تست کور'!I40="امتناع درست — قاعده‌اش در این فاز ساخته نشده"), "", IF('تست کور'!I40="قبولی کامل (Pass)", 20, IF(OR('تست کور'!J40="استخراج اشتباه مبلغ یا ارقام", 'تست کور'!I40="خطا در استخراج مبلغ"), 0, IF('تست کور'!I40="قبولی مشروط (Conditional)", 15, 12))))</f>
        <v/>
      </c>
      <c r="F40" s="10">
        <f>IF(OR('تست کور'!I40="", 'تست کور'!I40="امتناع درست — قاعده‌اش در این فاز ساخته نشده"), "", IF('تست کور'!I40="قبولی کامل (Pass)", 15, IF('تست کور'!J40="عدم تشخیص سررسید یا طرف‌حساب", 0, IF('تست کور'!I40="قبولی مشروط (Conditional)", 11, 10))))</f>
        <v/>
      </c>
      <c r="G40" s="10">
        <f>IF(OR('تست کور'!I40="", 'تست کور'!I40="امتناع درست — قاعده‌اش در این فاز ساخته نشده"), "", IF('تست کور'!I40="قبولی کامل (Pass)", 15, IF(OR('تست کور'!J40="عدم طرح سؤال در سناریوی مبهم", 'تست کور'!J40="طرح سؤال تکمیلی غلط و توهم اطلاعات", 'تست کور'!I40="سؤال تکمیلی نامربوط/توهم", 'تست کور'!I40="سکوت اشتباه در ابهام"), 0, IF(OR('تست کور'!J40="از قلم افتادن بخش دوم در جمله مرکب", 'تست کور'!I40="عدم تفکیک رویدادها"), 3, IF('تست کور'!I40="قبولی مشروط (Conditional)", 11, 8)))))</f>
        <v/>
      </c>
      <c r="H40" s="10">
        <f>IF(C40="", "", C40+D40+E40+F40+G40)</f>
        <v/>
      </c>
      <c r="I40" s="12">
        <f>IF(H40="", "در انتظار آزمون", IF(H40&gt;=85, "قبولی ممتاز (Passed)", IF(H40&gt;=70, "قبولی متوسط (Acceptable)", IF(H40&gt;=50, "نیازمند بازآموزی (Retrain)", "مردود (Failed)"))))</f>
        <v/>
      </c>
      <c r="J40" s="12">
        <f>IF('تست کور'!I40="", "تست نشده", 'تست کور'!I40)</f>
        <v/>
      </c>
    </row>
    <row r="41">
      <c r="A41" s="12">
        <f>'تست کور'!A41</f>
        <v/>
      </c>
      <c r="B41" s="12">
        <f>'تست کور'!B41</f>
        <v/>
      </c>
      <c r="C41" s="10">
        <f>IF(OR('تست کور'!I41="", 'تست کور'!I41="امتناع درست — قاعده‌اش در این فاز ساخته نشده"), "", IF('تست کور'!I41="قبولی کامل (Pass)", 25, IF('تست کور'!J41="خطا در تشخیص ماهیت رویداد", 0, IF('تست کور'!I41="قبولی مشروط (Conditional)", 20, 15))))</f>
        <v/>
      </c>
      <c r="D41" s="10">
        <f>IF(OR('تست کور'!I41="", 'تست کور'!I41="امتناع درست — قاعده‌اش در این فاز ساخته نشده"), "", IF('تست کور'!I41="قبولی کامل (Pass)", 25, IF(OR('تست کور'!J41="جابجایی یا اشتباه بدهکار/بستانکار", 'تست کور'!I41="خطا در تشخیص سرفصل"), 0, IF('تست کور'!I41="قبولی مشروط (Conditional)", 18, 10))))</f>
        <v/>
      </c>
      <c r="E41" s="10">
        <f>IF(OR('تست کور'!I41="", 'تست کور'!I41="امتناع درست — قاعده‌اش در این فاز ساخته نشده"), "", IF('تست کور'!I41="قبولی کامل (Pass)", 20, IF(OR('تست کور'!J41="استخراج اشتباه مبلغ یا ارقام", 'تست کور'!I41="خطا در استخراج مبلغ"), 0, IF('تست کور'!I41="قبولی مشروط (Conditional)", 15, 12))))</f>
        <v/>
      </c>
      <c r="F41" s="10">
        <f>IF(OR('تست کور'!I41="", 'تست کور'!I41="امتناع درست — قاعده‌اش در این فاز ساخته نشده"), "", IF('تست کور'!I41="قبولی کامل (Pass)", 15, IF('تست کور'!J41="عدم تشخیص سررسید یا طرف‌حساب", 0, IF('تست کور'!I41="قبولی مشروط (Conditional)", 11, 10))))</f>
        <v/>
      </c>
      <c r="G41" s="10">
        <f>IF(OR('تست کور'!I41="", 'تست کور'!I41="امتناع درست — قاعده‌اش در این فاز ساخته نشده"), "", IF('تست کور'!I41="قبولی کامل (Pass)", 15, IF(OR('تست کور'!J41="عدم طرح سؤال در سناریوی مبهم", 'تست کور'!J41="طرح سؤال تکمیلی غلط و توهم اطلاعات", 'تست کور'!I41="سؤال تکمیلی نامربوط/توهم", 'تست کور'!I41="سکوت اشتباه در ابهام"), 0, IF(OR('تست کور'!J41="از قلم افتادن بخش دوم در جمله مرکب", 'تست کور'!I41="عدم تفکیک رویدادها"), 3, IF('تست کور'!I41="قبولی مشروط (Conditional)", 11, 8)))))</f>
        <v/>
      </c>
      <c r="H41" s="10">
        <f>IF(C41="", "", C41+D41+E41+F41+G41)</f>
        <v/>
      </c>
      <c r="I41" s="12">
        <f>IF(H41="", "در انتظار آزمون", IF(H41&gt;=85, "قبولی ممتاز (Passed)", IF(H41&gt;=70, "قبولی متوسط (Acceptable)", IF(H41&gt;=50, "نیازمند بازآموزی (Retrain)", "مردود (Failed)"))))</f>
        <v/>
      </c>
      <c r="J41" s="12">
        <f>IF('تست کور'!I41="", "تست نشده", 'تست کور'!I41)</f>
        <v/>
      </c>
    </row>
    <row r="42">
      <c r="A42" s="12">
        <f>'تست کور'!A42</f>
        <v/>
      </c>
      <c r="B42" s="12">
        <f>'تست کور'!B42</f>
        <v/>
      </c>
      <c r="C42" s="10">
        <f>IF(OR('تست کور'!I42="", 'تست کور'!I42="امتناع درست — قاعده‌اش در این فاز ساخته نشده"), "", IF('تست کور'!I42="قبولی کامل (Pass)", 25, IF('تست کور'!J42="خطا در تشخیص ماهیت رویداد", 0, IF('تست کور'!I42="قبولی مشروط (Conditional)", 20, 15))))</f>
        <v/>
      </c>
      <c r="D42" s="10">
        <f>IF(OR('تست کور'!I42="", 'تست کور'!I42="امتناع درست — قاعده‌اش در این فاز ساخته نشده"), "", IF('تست کور'!I42="قبولی کامل (Pass)", 25, IF(OR('تست کور'!J42="جابجایی یا اشتباه بدهکار/بستانکار", 'تست کور'!I42="خطا در تشخیص سرفصل"), 0, IF('تست کور'!I42="قبولی مشروط (Conditional)", 18, 10))))</f>
        <v/>
      </c>
      <c r="E42" s="10">
        <f>IF(OR('تست کور'!I42="", 'تست کور'!I42="امتناع درست — قاعده‌اش در این فاز ساخته نشده"), "", IF('تست کور'!I42="قبولی کامل (Pass)", 20, IF(OR('تست کور'!J42="استخراج اشتباه مبلغ یا ارقام", 'تست کور'!I42="خطا در استخراج مبلغ"), 0, IF('تست کور'!I42="قبولی مشروط (Conditional)", 15, 12))))</f>
        <v/>
      </c>
      <c r="F42" s="10">
        <f>IF(OR('تست کور'!I42="", 'تست کور'!I42="امتناع درست — قاعده‌اش در این فاز ساخته نشده"), "", IF('تست کور'!I42="قبولی کامل (Pass)", 15, IF('تست کور'!J42="عدم تشخیص سررسید یا طرف‌حساب", 0, IF('تست کور'!I42="قبولی مشروط (Conditional)", 11, 10))))</f>
        <v/>
      </c>
      <c r="G42" s="10">
        <f>IF(OR('تست کور'!I42="", 'تست کور'!I42="امتناع درست — قاعده‌اش در این فاز ساخته نشده"), "", IF('تست کور'!I42="قبولی کامل (Pass)", 15, IF(OR('تست کور'!J42="عدم طرح سؤال در سناریوی مبهم", 'تست کور'!J42="طرح سؤال تکمیلی غلط و توهم اطلاعات", 'تست کور'!I42="سؤال تکمیلی نامربوط/توهم", 'تست کور'!I42="سکوت اشتباه در ابهام"), 0, IF(OR('تست کور'!J42="از قلم افتادن بخش دوم در جمله مرکب", 'تست کور'!I42="عدم تفکیک رویدادها"), 3, IF('تست کور'!I42="قبولی مشروط (Conditional)", 11, 8)))))</f>
        <v/>
      </c>
      <c r="H42" s="10">
        <f>IF(C42="", "", C42+D42+E42+F42+G42)</f>
        <v/>
      </c>
      <c r="I42" s="12">
        <f>IF(H42="", "در انتظار آزمون", IF(H42&gt;=85, "قبولی ممتاز (Passed)", IF(H42&gt;=70, "قبولی متوسط (Acceptable)", IF(H42&gt;=50, "نیازمند بازآموزی (Retrain)", "مردود (Failed)"))))</f>
        <v/>
      </c>
      <c r="J42" s="12">
        <f>IF('تست کور'!I42="", "تست نشده", 'تست کور'!I42)</f>
        <v/>
      </c>
    </row>
    <row r="43">
      <c r="A43" s="12">
        <f>'تست کور'!A43</f>
        <v/>
      </c>
      <c r="B43" s="12">
        <f>'تست کور'!B43</f>
        <v/>
      </c>
      <c r="C43" s="10">
        <f>IF(OR('تست کور'!I43="", 'تست کور'!I43="امتناع درست — قاعده‌اش در این فاز ساخته نشده"), "", IF('تست کور'!I43="قبولی کامل (Pass)", 25, IF('تست کور'!J43="خطا در تشخیص ماهیت رویداد", 0, IF('تست کور'!I43="قبولی مشروط (Conditional)", 20, 15))))</f>
        <v/>
      </c>
      <c r="D43" s="10">
        <f>IF(OR('تست کور'!I43="", 'تست کور'!I43="امتناع درست — قاعده‌اش در این فاز ساخته نشده"), "", IF('تست کور'!I43="قبولی کامل (Pass)", 25, IF(OR('تست کور'!J43="جابجایی یا اشتباه بدهکار/بستانکار", 'تست کور'!I43="خطا در تشخیص سرفصل"), 0, IF('تست کور'!I43="قبولی مشروط (Conditional)", 18, 10))))</f>
        <v/>
      </c>
      <c r="E43" s="10">
        <f>IF(OR('تست کور'!I43="", 'تست کور'!I43="امتناع درست — قاعده‌اش در این فاز ساخته نشده"), "", IF('تست کور'!I43="قبولی کامل (Pass)", 20, IF(OR('تست کور'!J43="استخراج اشتباه مبلغ یا ارقام", 'تست کور'!I43="خطا در استخراج مبلغ"), 0, IF('تست کور'!I43="قبولی مشروط (Conditional)", 15, 12))))</f>
        <v/>
      </c>
      <c r="F43" s="10">
        <f>IF(OR('تست کور'!I43="", 'تست کور'!I43="امتناع درست — قاعده‌اش در این فاز ساخته نشده"), "", IF('تست کور'!I43="قبولی کامل (Pass)", 15, IF('تست کور'!J43="عدم تشخیص سررسید یا طرف‌حساب", 0, IF('تست کور'!I43="قبولی مشروط (Conditional)", 11, 10))))</f>
        <v/>
      </c>
      <c r="G43" s="10">
        <f>IF(OR('تست کور'!I43="", 'تست کور'!I43="امتناع درست — قاعده‌اش در این فاز ساخته نشده"), "", IF('تست کور'!I43="قبولی کامل (Pass)", 15, IF(OR('تست کور'!J43="عدم طرح سؤال در سناریوی مبهم", 'تست کور'!J43="طرح سؤال تکمیلی غلط و توهم اطلاعات", 'تست کور'!I43="سؤال تکمیلی نامربوط/توهم", 'تست کور'!I43="سکوت اشتباه در ابهام"), 0, IF(OR('تست کور'!J43="از قلم افتادن بخش دوم در جمله مرکب", 'تست کور'!I43="عدم تفکیک رویدادها"), 3, IF('تست کور'!I43="قبولی مشروط (Conditional)", 11, 8)))))</f>
        <v/>
      </c>
      <c r="H43" s="10">
        <f>IF(C43="", "", C43+D43+E43+F43+G43)</f>
        <v/>
      </c>
      <c r="I43" s="12">
        <f>IF(H43="", "در انتظار آزمون", IF(H43&gt;=85, "قبولی ممتاز (Passed)", IF(H43&gt;=70, "قبولی متوسط (Acceptable)", IF(H43&gt;=50, "نیازمند بازآموزی (Retrain)", "مردود (Failed)"))))</f>
        <v/>
      </c>
      <c r="J43" s="12">
        <f>IF('تست کور'!I43="", "تست نشده", 'تست کور'!I43)</f>
        <v/>
      </c>
    </row>
    <row r="44">
      <c r="A44" s="12">
        <f>'تست کور'!A44</f>
        <v/>
      </c>
      <c r="B44" s="12">
        <f>'تست کور'!B44</f>
        <v/>
      </c>
      <c r="C44" s="10">
        <f>IF(OR('تست کور'!I44="", 'تست کور'!I44="امتناع درست — قاعده‌اش در این فاز ساخته نشده"), "", IF('تست کور'!I44="قبولی کامل (Pass)", 25, IF('تست کور'!J44="خطا در تشخیص ماهیت رویداد", 0, IF('تست کور'!I44="قبولی مشروط (Conditional)", 20, 15))))</f>
        <v/>
      </c>
      <c r="D44" s="10">
        <f>IF(OR('تست کور'!I44="", 'تست کور'!I44="امتناع درست — قاعده‌اش در این فاز ساخته نشده"), "", IF('تست کور'!I44="قبولی کامل (Pass)", 25, IF(OR('تست کور'!J44="جابجایی یا اشتباه بدهکار/بستانکار", 'تست کور'!I44="خطا در تشخیص سرفصل"), 0, IF('تست کور'!I44="قبولی مشروط (Conditional)", 18, 10))))</f>
        <v/>
      </c>
      <c r="E44" s="10">
        <f>IF(OR('تست کور'!I44="", 'تست کور'!I44="امتناع درست — قاعده‌اش در این فاز ساخته نشده"), "", IF('تست کور'!I44="قبولی کامل (Pass)", 20, IF(OR('تست کور'!J44="استخراج اشتباه مبلغ یا ارقام", 'تست کور'!I44="خطا در استخراج مبلغ"), 0, IF('تست کور'!I44="قبولی مشروط (Conditional)", 15, 12))))</f>
        <v/>
      </c>
      <c r="F44" s="10">
        <f>IF(OR('تست کور'!I44="", 'تست کور'!I44="امتناع درست — قاعده‌اش در این فاز ساخته نشده"), "", IF('تست کور'!I44="قبولی کامل (Pass)", 15, IF('تست کور'!J44="عدم تشخیص سررسید یا طرف‌حساب", 0, IF('تست کور'!I44="قبولی مشروط (Conditional)", 11, 10))))</f>
        <v/>
      </c>
      <c r="G44" s="10">
        <f>IF(OR('تست کور'!I44="", 'تست کور'!I44="امتناع درست — قاعده‌اش در این فاز ساخته نشده"), "", IF('تست کور'!I44="قبولی کامل (Pass)", 15, IF(OR('تست کور'!J44="عدم طرح سؤال در سناریوی مبهم", 'تست کور'!J44="طرح سؤال تکمیلی غلط و توهم اطلاعات", 'تست کور'!I44="سؤال تکمیلی نامربوط/توهم", 'تست کور'!I44="سکوت اشتباه در ابهام"), 0, IF(OR('تست کور'!J44="از قلم افتادن بخش دوم در جمله مرکب", 'تست کور'!I44="عدم تفکیک رویدادها"), 3, IF('تست کور'!I44="قبولی مشروط (Conditional)", 11, 8)))))</f>
        <v/>
      </c>
      <c r="H44" s="10">
        <f>IF(C44="", "", C44+D44+E44+F44+G44)</f>
        <v/>
      </c>
      <c r="I44" s="12">
        <f>IF(H44="", "در انتظار آزمون", IF(H44&gt;=85, "قبولی ممتاز (Passed)", IF(H44&gt;=70, "قبولی متوسط (Acceptable)", IF(H44&gt;=50, "نیازمند بازآموزی (Retrain)", "مردود (Failed)"))))</f>
        <v/>
      </c>
      <c r="J44" s="12">
        <f>IF('تست کور'!I44="", "تست نشده", 'تست کور'!I44)</f>
        <v/>
      </c>
    </row>
    <row r="45">
      <c r="A45" s="12">
        <f>'تست کور'!A45</f>
        <v/>
      </c>
      <c r="B45" s="12">
        <f>'تست کور'!B45</f>
        <v/>
      </c>
      <c r="C45" s="10">
        <f>IF(OR('تست کور'!I45="", 'تست کور'!I45="امتناع درست — قاعده‌اش در این فاز ساخته نشده"), "", IF('تست کور'!I45="قبولی کامل (Pass)", 25, IF('تست کور'!J45="خطا در تشخیص ماهیت رویداد", 0, IF('تست کور'!I45="قبولی مشروط (Conditional)", 20, 15))))</f>
        <v/>
      </c>
      <c r="D45" s="10">
        <f>IF(OR('تست کور'!I45="", 'تست کور'!I45="امتناع درست — قاعده‌اش در این فاز ساخته نشده"), "", IF('تست کور'!I45="قبولی کامل (Pass)", 25, IF(OR('تست کور'!J45="جابجایی یا اشتباه بدهکار/بستانکار", 'تست کور'!I45="خطا در تشخیص سرفصل"), 0, IF('تست کور'!I45="قبولی مشروط (Conditional)", 18, 10))))</f>
        <v/>
      </c>
      <c r="E45" s="10">
        <f>IF(OR('تست کور'!I45="", 'تست کور'!I45="امتناع درست — قاعده‌اش در این فاز ساخته نشده"), "", IF('تست کور'!I45="قبولی کامل (Pass)", 20, IF(OR('تست کور'!J45="استخراج اشتباه مبلغ یا ارقام", 'تست کور'!I45="خطا در استخراج مبلغ"), 0, IF('تست کور'!I45="قبولی مشروط (Conditional)", 15, 12))))</f>
        <v/>
      </c>
      <c r="F45" s="10">
        <f>IF(OR('تست کور'!I45="", 'تست کور'!I45="امتناع درست — قاعده‌اش در این فاز ساخته نشده"), "", IF('تست کور'!I45="قبولی کامل (Pass)", 15, IF('تست کور'!J45="عدم تشخیص سررسید یا طرف‌حساب", 0, IF('تست کور'!I45="قبولی مشروط (Conditional)", 11, 10))))</f>
        <v/>
      </c>
      <c r="G45" s="10">
        <f>IF(OR('تست کور'!I45="", 'تست کور'!I45="امتناع درست — قاعده‌اش در این فاز ساخته نشده"), "", IF('تست کور'!I45="قبولی کامل (Pass)", 15, IF(OR('تست کور'!J45="عدم طرح سؤال در سناریوی مبهم", 'تست کور'!J45="طرح سؤال تکمیلی غلط و توهم اطلاعات", 'تست کور'!I45="سؤال تکمیلی نامربوط/توهم", 'تست کور'!I45="سکوت اشتباه در ابهام"), 0, IF(OR('تست کور'!J45="از قلم افتادن بخش دوم در جمله مرکب", 'تست کور'!I45="عدم تفکیک رویدادها"), 3, IF('تست کور'!I45="قبولی مشروط (Conditional)", 11, 8)))))</f>
        <v/>
      </c>
      <c r="H45" s="10">
        <f>IF(C45="", "", C45+D45+E45+F45+G45)</f>
        <v/>
      </c>
      <c r="I45" s="12">
        <f>IF(H45="", "در انتظار آزمون", IF(H45&gt;=85, "قبولی ممتاز (Passed)", IF(H45&gt;=70, "قبولی متوسط (Acceptable)", IF(H45&gt;=50, "نیازمند بازآموزی (Retrain)", "مردود (Failed)"))))</f>
        <v/>
      </c>
      <c r="J45" s="12">
        <f>IF('تست کور'!I45="", "تست نشده", 'تست کور'!I45)</f>
        <v/>
      </c>
    </row>
    <row r="46">
      <c r="A46" s="12">
        <f>'تست کور'!A46</f>
        <v/>
      </c>
      <c r="B46" s="12">
        <f>'تست کور'!B46</f>
        <v/>
      </c>
      <c r="C46" s="10">
        <f>IF(OR('تست کور'!I46="", 'تست کور'!I46="امتناع درست — قاعده‌اش در این فاز ساخته نشده"), "", IF('تست کور'!I46="قبولی کامل (Pass)", 25, IF('تست کور'!J46="خطا در تشخیص ماهیت رویداد", 0, IF('تست کور'!I46="قبولی مشروط (Conditional)", 20, 15))))</f>
        <v/>
      </c>
      <c r="D46" s="10">
        <f>IF(OR('تست کور'!I46="", 'تست کور'!I46="امتناع درست — قاعده‌اش در این فاز ساخته نشده"), "", IF('تست کور'!I46="قبولی کامل (Pass)", 25, IF(OR('تست کور'!J46="جابجایی یا اشتباه بدهکار/بستانکار", 'تست کور'!I46="خطا در تشخیص سرفصل"), 0, IF('تست کور'!I46="قبولی مشروط (Conditional)", 18, 10))))</f>
        <v/>
      </c>
      <c r="E46" s="10">
        <f>IF(OR('تست کور'!I46="", 'تست کور'!I46="امتناع درست — قاعده‌اش در این فاز ساخته نشده"), "", IF('تست کور'!I46="قبولی کامل (Pass)", 20, IF(OR('تست کور'!J46="استخراج اشتباه مبلغ یا ارقام", 'تست کور'!I46="خطا در استخراج مبلغ"), 0, IF('تست کور'!I46="قبولی مشروط (Conditional)", 15, 12))))</f>
        <v/>
      </c>
      <c r="F46" s="10">
        <f>IF(OR('تست کور'!I46="", 'تست کور'!I46="امتناع درست — قاعده‌اش در این فاز ساخته نشده"), "", IF('تست کور'!I46="قبولی کامل (Pass)", 15, IF('تست کور'!J46="عدم تشخیص سررسید یا طرف‌حساب", 0, IF('تست کور'!I46="قبولی مشروط (Conditional)", 11, 10))))</f>
        <v/>
      </c>
      <c r="G46" s="10">
        <f>IF(OR('تست کور'!I46="", 'تست کور'!I46="امتناع درست — قاعده‌اش در این فاز ساخته نشده"), "", IF('تست کور'!I46="قبولی کامل (Pass)", 15, IF(OR('تست کور'!J46="عدم طرح سؤال در سناریوی مبهم", 'تست کور'!J46="طرح سؤال تکمیلی غلط و توهم اطلاعات", 'تست کور'!I46="سؤال تکمیلی نامربوط/توهم", 'تست کور'!I46="سکوت اشتباه در ابهام"), 0, IF(OR('تست کور'!J46="از قلم افتادن بخش دوم در جمله مرکب", 'تست کور'!I46="عدم تفکیک رویدادها"), 3, IF('تست کور'!I46="قبولی مشروط (Conditional)", 11, 8)))))</f>
        <v/>
      </c>
      <c r="H46" s="10">
        <f>IF(C46="", "", C46+D46+E46+F46+G46)</f>
        <v/>
      </c>
      <c r="I46" s="12">
        <f>IF(H46="", "در انتظار آزمون", IF(H46&gt;=85, "قبولی ممتاز (Passed)", IF(H46&gt;=70, "قبولی متوسط (Acceptable)", IF(H46&gt;=50, "نیازمند بازآموزی (Retrain)", "مردود (Failed)"))))</f>
        <v/>
      </c>
      <c r="J46" s="12">
        <f>IF('تست کور'!I46="", "تست نشده", 'تست کور'!I46)</f>
        <v/>
      </c>
    </row>
    <row r="47">
      <c r="A47" s="12">
        <f>'تست کور'!A47</f>
        <v/>
      </c>
      <c r="B47" s="12">
        <f>'تست کور'!B47</f>
        <v/>
      </c>
      <c r="C47" s="10">
        <f>IF(OR('تست کور'!I47="", 'تست کور'!I47="امتناع درست — قاعده‌اش در این فاز ساخته نشده"), "", IF('تست کور'!I47="قبولی کامل (Pass)", 25, IF('تست کور'!J47="خطا در تشخیص ماهیت رویداد", 0, IF('تست کور'!I47="قبولی مشروط (Conditional)", 20, 15))))</f>
        <v/>
      </c>
      <c r="D47" s="10">
        <f>IF(OR('تست کور'!I47="", 'تست کور'!I47="امتناع درست — قاعده‌اش در این فاز ساخته نشده"), "", IF('تست کور'!I47="قبولی کامل (Pass)", 25, IF(OR('تست کور'!J47="جابجایی یا اشتباه بدهکار/بستانکار", 'تست کور'!I47="خطا در تشخیص سرفصل"), 0, IF('تست کور'!I47="قبولی مشروط (Conditional)", 18, 10))))</f>
        <v/>
      </c>
      <c r="E47" s="10">
        <f>IF(OR('تست کور'!I47="", 'تست کور'!I47="امتناع درست — قاعده‌اش در این فاز ساخته نشده"), "", IF('تست کور'!I47="قبولی کامل (Pass)", 20, IF(OR('تست کور'!J47="استخراج اشتباه مبلغ یا ارقام", 'تست کور'!I47="خطا در استخراج مبلغ"), 0, IF('تست کور'!I47="قبولی مشروط (Conditional)", 15, 12))))</f>
        <v/>
      </c>
      <c r="F47" s="10">
        <f>IF(OR('تست کور'!I47="", 'تست کور'!I47="امتناع درست — قاعده‌اش در این فاز ساخته نشده"), "", IF('تست کور'!I47="قبولی کامل (Pass)", 15, IF('تست کور'!J47="عدم تشخیص سررسید یا طرف‌حساب", 0, IF('تست کور'!I47="قبولی مشروط (Conditional)", 11, 10))))</f>
        <v/>
      </c>
      <c r="G47" s="10">
        <f>IF(OR('تست کور'!I47="", 'تست کور'!I47="امتناع درست — قاعده‌اش در این فاز ساخته نشده"), "", IF('تست کور'!I47="قبولی کامل (Pass)", 15, IF(OR('تست کور'!J47="عدم طرح سؤال در سناریوی مبهم", 'تست کور'!J47="طرح سؤال تکمیلی غلط و توهم اطلاعات", 'تست کور'!I47="سؤال تکمیلی نامربوط/توهم", 'تست کور'!I47="سکوت اشتباه در ابهام"), 0, IF(OR('تست کور'!J47="از قلم افتادن بخش دوم در جمله مرکب", 'تست کور'!I47="عدم تفکیک رویدادها"), 3, IF('تست کور'!I47="قبولی مشروط (Conditional)", 11, 8)))))</f>
        <v/>
      </c>
      <c r="H47" s="10">
        <f>IF(C47="", "", C47+D47+E47+F47+G47)</f>
        <v/>
      </c>
      <c r="I47" s="12">
        <f>IF(H47="", "در انتظار آزمون", IF(H47&gt;=85, "قبولی ممتاز (Passed)", IF(H47&gt;=70, "قبولی متوسط (Acceptable)", IF(H47&gt;=50, "نیازمند بازآموزی (Retrain)", "مردود (Failed)"))))</f>
        <v/>
      </c>
      <c r="J47" s="12">
        <f>IF('تست کور'!I47="", "تست نشده", 'تست کور'!I47)</f>
        <v/>
      </c>
    </row>
    <row r="48">
      <c r="A48" s="12">
        <f>'تست کور'!A48</f>
        <v/>
      </c>
      <c r="B48" s="12">
        <f>'تست کور'!B48</f>
        <v/>
      </c>
      <c r="C48" s="10">
        <f>IF(OR('تست کور'!I48="", 'تست کور'!I48="امتناع درست — قاعده‌اش در این فاز ساخته نشده"), "", IF('تست کور'!I48="قبولی کامل (Pass)", 25, IF('تست کور'!J48="خطا در تشخیص ماهیت رویداد", 0, IF('تست کور'!I48="قبولی مشروط (Conditional)", 20, 15))))</f>
        <v/>
      </c>
      <c r="D48" s="10">
        <f>IF(OR('تست کور'!I48="", 'تست کور'!I48="امتناع درست — قاعده‌اش در این فاز ساخته نشده"), "", IF('تست کور'!I48="قبولی کامل (Pass)", 25, IF(OR('تست کور'!J48="جابجایی یا اشتباه بدهکار/بستانکار", 'تست کور'!I48="خطا در تشخیص سرفصل"), 0, IF('تست کور'!I48="قبولی مشروط (Conditional)", 18, 10))))</f>
        <v/>
      </c>
      <c r="E48" s="10">
        <f>IF(OR('تست کور'!I48="", 'تست کور'!I48="امتناع درست — قاعده‌اش در این فاز ساخته نشده"), "", IF('تست کور'!I48="قبولی کامل (Pass)", 20, IF(OR('تست کور'!J48="استخراج اشتباه مبلغ یا ارقام", 'تست کور'!I48="خطا در استخراج مبلغ"), 0, IF('تست کور'!I48="قبولی مشروط (Conditional)", 15, 12))))</f>
        <v/>
      </c>
      <c r="F48" s="10">
        <f>IF(OR('تست کور'!I48="", 'تست کور'!I48="امتناع درست — قاعده‌اش در این فاز ساخته نشده"), "", IF('تست کور'!I48="قبولی کامل (Pass)", 15, IF('تست کور'!J48="عدم تشخیص سررسید یا طرف‌حساب", 0, IF('تست کور'!I48="قبولی مشروط (Conditional)", 11, 10))))</f>
        <v/>
      </c>
      <c r="G48" s="10">
        <f>IF(OR('تست کور'!I48="", 'تست کور'!I48="امتناع درست — قاعده‌اش در این فاز ساخته نشده"), "", IF('تست کور'!I48="قبولی کامل (Pass)", 15, IF(OR('تست کور'!J48="عدم طرح سؤال در سناریوی مبهم", 'تست کور'!J48="طرح سؤال تکمیلی غلط و توهم اطلاعات", 'تست کور'!I48="سؤال تکمیلی نامربوط/توهم", 'تست کور'!I48="سکوت اشتباه در ابهام"), 0, IF(OR('تست کور'!J48="از قلم افتادن بخش دوم در جمله مرکب", 'تست کور'!I48="عدم تفکیک رویدادها"), 3, IF('تست کور'!I48="قبولی مشروط (Conditional)", 11, 8)))))</f>
        <v/>
      </c>
      <c r="H48" s="10">
        <f>IF(C48="", "", C48+D48+E48+F48+G48)</f>
        <v/>
      </c>
      <c r="I48" s="12">
        <f>IF(H48="", "در انتظار آزمون", IF(H48&gt;=85, "قبولی ممتاز (Passed)", IF(H48&gt;=70, "قبولی متوسط (Acceptable)", IF(H48&gt;=50, "نیازمند بازآموزی (Retrain)", "مردود (Failed)"))))</f>
        <v/>
      </c>
      <c r="J48" s="12">
        <f>IF('تست کور'!I48="", "تست نشده", 'تست کور'!I48)</f>
        <v/>
      </c>
    </row>
    <row r="49">
      <c r="A49" s="12">
        <f>'تست کور'!A49</f>
        <v/>
      </c>
      <c r="B49" s="12">
        <f>'تست کور'!B49</f>
        <v/>
      </c>
      <c r="C49" s="10">
        <f>IF(OR('تست کور'!I49="", 'تست کور'!I49="امتناع درست — قاعده‌اش در این فاز ساخته نشده"), "", IF('تست کور'!I49="قبولی کامل (Pass)", 25, IF('تست کور'!J49="خطا در تشخیص ماهیت رویداد", 0, IF('تست کور'!I49="قبولی مشروط (Conditional)", 20, 15))))</f>
        <v/>
      </c>
      <c r="D49" s="10">
        <f>IF(OR('تست کور'!I49="", 'تست کور'!I49="امتناع درست — قاعده‌اش در این فاز ساخته نشده"), "", IF('تست کور'!I49="قبولی کامل (Pass)", 25, IF(OR('تست کور'!J49="جابجایی یا اشتباه بدهکار/بستانکار", 'تست کور'!I49="خطا در تشخیص سرفصل"), 0, IF('تست کور'!I49="قبولی مشروط (Conditional)", 18, 10))))</f>
        <v/>
      </c>
      <c r="E49" s="10">
        <f>IF(OR('تست کور'!I49="", 'تست کور'!I49="امتناع درست — قاعده‌اش در این فاز ساخته نشده"), "", IF('تست کور'!I49="قبولی کامل (Pass)", 20, IF(OR('تست کور'!J49="استخراج اشتباه مبلغ یا ارقام", 'تست کور'!I49="خطا در استخراج مبلغ"), 0, IF('تست کور'!I49="قبولی مشروط (Conditional)", 15, 12))))</f>
        <v/>
      </c>
      <c r="F49" s="10">
        <f>IF(OR('تست کور'!I49="", 'تست کور'!I49="امتناع درست — قاعده‌اش در این فاز ساخته نشده"), "", IF('تست کور'!I49="قبولی کامل (Pass)", 15, IF('تست کور'!J49="عدم تشخیص سررسید یا طرف‌حساب", 0, IF('تست کور'!I49="قبولی مشروط (Conditional)", 11, 10))))</f>
        <v/>
      </c>
      <c r="G49" s="10">
        <f>IF(OR('تست کور'!I49="", 'تست کور'!I49="امتناع درست — قاعده‌اش در این فاز ساخته نشده"), "", IF('تست کور'!I49="قبولی کامل (Pass)", 15, IF(OR('تست کور'!J49="عدم طرح سؤال در سناریوی مبهم", 'تست کور'!J49="طرح سؤال تکمیلی غلط و توهم اطلاعات", 'تست کور'!I49="سؤال تکمیلی نامربوط/توهم", 'تست کور'!I49="سکوت اشتباه در ابهام"), 0, IF(OR('تست کور'!J49="از قلم افتادن بخش دوم در جمله مرکب", 'تست کور'!I49="عدم تفکیک رویدادها"), 3, IF('تست کور'!I49="قبولی مشروط (Conditional)", 11, 8)))))</f>
        <v/>
      </c>
      <c r="H49" s="10">
        <f>IF(C49="", "", C49+D49+E49+F49+G49)</f>
        <v/>
      </c>
      <c r="I49" s="12">
        <f>IF(H49="", "در انتظار آزمون", IF(H49&gt;=85, "قبولی ممتاز (Passed)", IF(H49&gt;=70, "قبولی متوسط (Acceptable)", IF(H49&gt;=50, "نیازمند بازآموزی (Retrain)", "مردود (Failed)"))))</f>
        <v/>
      </c>
      <c r="J49" s="12">
        <f>IF('تست کور'!I49="", "تست نشده", 'تست کور'!I49)</f>
        <v/>
      </c>
    </row>
    <row r="50">
      <c r="A50" s="12">
        <f>'تست کور'!A50</f>
        <v/>
      </c>
      <c r="B50" s="12">
        <f>'تست کور'!B50</f>
        <v/>
      </c>
      <c r="C50" s="10">
        <f>IF(OR('تست کور'!I50="", 'تست کور'!I50="امتناع درست — قاعده‌اش در این فاز ساخته نشده"), "", IF('تست کور'!I50="قبولی کامل (Pass)", 25, IF('تست کور'!J50="خطا در تشخیص ماهیت رویداد", 0, IF('تست کور'!I50="قبولی مشروط (Conditional)", 20, 15))))</f>
        <v/>
      </c>
      <c r="D50" s="10">
        <f>IF(OR('تست کور'!I50="", 'تست کور'!I50="امتناع درست — قاعده‌اش در این فاز ساخته نشده"), "", IF('تست کور'!I50="قبولی کامل (Pass)", 25, IF(OR('تست کور'!J50="جابجایی یا اشتباه بدهکار/بستانکار", 'تست کور'!I50="خطا در تشخیص سرفصل"), 0, IF('تست کور'!I50="قبولی مشروط (Conditional)", 18, 10))))</f>
        <v/>
      </c>
      <c r="E50" s="10">
        <f>IF(OR('تست کور'!I50="", 'تست کور'!I50="امتناع درست — قاعده‌اش در این فاز ساخته نشده"), "", IF('تست کور'!I50="قبولی کامل (Pass)", 20, IF(OR('تست کور'!J50="استخراج اشتباه مبلغ یا ارقام", 'تست کور'!I50="خطا در استخراج مبلغ"), 0, IF('تست کور'!I50="قبولی مشروط (Conditional)", 15, 12))))</f>
        <v/>
      </c>
      <c r="F50" s="10">
        <f>IF(OR('تست کور'!I50="", 'تست کور'!I50="امتناع درست — قاعده‌اش در این فاز ساخته نشده"), "", IF('تست کور'!I50="قبولی کامل (Pass)", 15, IF('تست کور'!J50="عدم تشخیص سررسید یا طرف‌حساب", 0, IF('تست کور'!I50="قبولی مشروط (Conditional)", 11, 10))))</f>
        <v/>
      </c>
      <c r="G50" s="10">
        <f>IF(OR('تست کور'!I50="", 'تست کور'!I50="امتناع درست — قاعده‌اش در این فاز ساخته نشده"), "", IF('تست کور'!I50="قبولی کامل (Pass)", 15, IF(OR('تست کور'!J50="عدم طرح سؤال در سناریوی مبهم", 'تست کور'!J50="طرح سؤال تکمیلی غلط و توهم اطلاعات", 'تست کور'!I50="سؤال تکمیلی نامربوط/توهم", 'تست کور'!I50="سکوت اشتباه در ابهام"), 0, IF(OR('تست کور'!J50="از قلم افتادن بخش دوم در جمله مرکب", 'تست کور'!I50="عدم تفکیک رویدادها"), 3, IF('تست کور'!I50="قبولی مشروط (Conditional)", 11, 8)))))</f>
        <v/>
      </c>
      <c r="H50" s="10">
        <f>IF(C50="", "", C50+D50+E50+F50+G50)</f>
        <v/>
      </c>
      <c r="I50" s="12">
        <f>IF(H50="", "در انتظار آزمون", IF(H50&gt;=85, "قبولی ممتاز (Passed)", IF(H50&gt;=70, "قبولی متوسط (Acceptable)", IF(H50&gt;=50, "نیازمند بازآموزی (Retrain)", "مردود (Failed)"))))</f>
        <v/>
      </c>
      <c r="J50" s="12">
        <f>IF('تست کور'!I50="", "تست نشده", 'تست کور'!I50)</f>
        <v/>
      </c>
    </row>
    <row r="51">
      <c r="A51" s="12">
        <f>'تست کور'!A51</f>
        <v/>
      </c>
      <c r="B51" s="12">
        <f>'تست کور'!B51</f>
        <v/>
      </c>
      <c r="C51" s="10">
        <f>IF(OR('تست کور'!I51="", 'تست کور'!I51="امتناع درست — قاعده‌اش در این فاز ساخته نشده"), "", IF('تست کور'!I51="قبولی کامل (Pass)", 25, IF('تست کور'!J51="خطا در تشخیص ماهیت رویداد", 0, IF('تست کور'!I51="قبولی مشروط (Conditional)", 20, 15))))</f>
        <v/>
      </c>
      <c r="D51" s="10">
        <f>IF(OR('تست کور'!I51="", 'تست کور'!I51="امتناع درست — قاعده‌اش در این فاز ساخته نشده"), "", IF('تست کور'!I51="قبولی کامل (Pass)", 25, IF(OR('تست کور'!J51="جابجایی یا اشتباه بدهکار/بستانکار", 'تست کور'!I51="خطا در تشخیص سرفصل"), 0, IF('تست کور'!I51="قبولی مشروط (Conditional)", 18, 10))))</f>
        <v/>
      </c>
      <c r="E51" s="10">
        <f>IF(OR('تست کور'!I51="", 'تست کور'!I51="امتناع درست — قاعده‌اش در این فاز ساخته نشده"), "", IF('تست کور'!I51="قبولی کامل (Pass)", 20, IF(OR('تست کور'!J51="استخراج اشتباه مبلغ یا ارقام", 'تست کور'!I51="خطا در استخراج مبلغ"), 0, IF('تست کور'!I51="قبولی مشروط (Conditional)", 15, 12))))</f>
        <v/>
      </c>
      <c r="F51" s="10">
        <f>IF(OR('تست کور'!I51="", 'تست کور'!I51="امتناع درست — قاعده‌اش در این فاز ساخته نشده"), "", IF('تست کور'!I51="قبولی کامل (Pass)", 15, IF('تست کور'!J51="عدم تشخیص سررسید یا طرف‌حساب", 0, IF('تست کور'!I51="قبولی مشروط (Conditional)", 11, 10))))</f>
        <v/>
      </c>
      <c r="G51" s="10">
        <f>IF(OR('تست کور'!I51="", 'تست کور'!I51="امتناع درست — قاعده‌اش در این فاز ساخته نشده"), "", IF('تست کور'!I51="قبولی کامل (Pass)", 15, IF(OR('تست کور'!J51="عدم طرح سؤال در سناریوی مبهم", 'تست کور'!J51="طرح سؤال تکمیلی غلط و توهم اطلاعات", 'تست کور'!I51="سؤال تکمیلی نامربوط/توهم", 'تست کور'!I51="سکوت اشتباه در ابهام"), 0, IF(OR('تست کور'!J51="از قلم افتادن بخش دوم در جمله مرکب", 'تست کور'!I51="عدم تفکیک رویدادها"), 3, IF('تست کور'!I51="قبولی مشروط (Conditional)", 11, 8)))))</f>
        <v/>
      </c>
      <c r="H51" s="10">
        <f>IF(C51="", "", C51+D51+E51+F51+G51)</f>
        <v/>
      </c>
      <c r="I51" s="12">
        <f>IF(H51="", "در انتظار آزمون", IF(H51&gt;=85, "قبولی ممتاز (Passed)", IF(H51&gt;=70, "قبولی متوسط (Acceptable)", IF(H51&gt;=50, "نیازمند بازآموزی (Retrain)", "مردود (Failed)"))))</f>
        <v/>
      </c>
      <c r="J51" s="12">
        <f>IF('تست کور'!I51="", "تست نشده", 'تست کور'!I51)</f>
        <v/>
      </c>
    </row>
    <row r="52">
      <c r="A52" s="12">
        <f>'تست کور'!A52</f>
        <v/>
      </c>
      <c r="B52" s="12">
        <f>'تست کور'!B52</f>
        <v/>
      </c>
      <c r="C52" s="10">
        <f>IF(OR('تست کور'!I52="", 'تست کور'!I52="امتناع درست — قاعده‌اش در این فاز ساخته نشده"), "", IF('تست کور'!I52="قبولی کامل (Pass)", 25, IF('تست کور'!J52="خطا در تشخیص ماهیت رویداد", 0, IF('تست کور'!I52="قبولی مشروط (Conditional)", 20, 15))))</f>
        <v/>
      </c>
      <c r="D52" s="10">
        <f>IF(OR('تست کور'!I52="", 'تست کور'!I52="امتناع درست — قاعده‌اش در این فاز ساخته نشده"), "", IF('تست کور'!I52="قبولی کامل (Pass)", 25, IF(OR('تست کور'!J52="جابجایی یا اشتباه بدهکار/بستانکار", 'تست کور'!I52="خطا در تشخیص سرفصل"), 0, IF('تست کور'!I52="قبولی مشروط (Conditional)", 18, 10))))</f>
        <v/>
      </c>
      <c r="E52" s="10">
        <f>IF(OR('تست کور'!I52="", 'تست کور'!I52="امتناع درست — قاعده‌اش در این فاز ساخته نشده"), "", IF('تست کور'!I52="قبولی کامل (Pass)", 20, IF(OR('تست کور'!J52="استخراج اشتباه مبلغ یا ارقام", 'تست کور'!I52="خطا در استخراج مبلغ"), 0, IF('تست کور'!I52="قبولی مشروط (Conditional)", 15, 12))))</f>
        <v/>
      </c>
      <c r="F52" s="10">
        <f>IF(OR('تست کور'!I52="", 'تست کور'!I52="امتناع درست — قاعده‌اش در این فاز ساخته نشده"), "", IF('تست کور'!I52="قبولی کامل (Pass)", 15, IF('تست کور'!J52="عدم تشخیص سررسید یا طرف‌حساب", 0, IF('تست کور'!I52="قبولی مشروط (Conditional)", 11, 10))))</f>
        <v/>
      </c>
      <c r="G52" s="10">
        <f>IF(OR('تست کور'!I52="", 'تست کور'!I52="امتناع درست — قاعده‌اش در این فاز ساخته نشده"), "", IF('تست کور'!I52="قبولی کامل (Pass)", 15, IF(OR('تست کور'!J52="عدم طرح سؤال در سناریوی مبهم", 'تست کور'!J52="طرح سؤال تکمیلی غلط و توهم اطلاعات", 'تست کور'!I52="سؤال تکمیلی نامربوط/توهم", 'تست کور'!I52="سکوت اشتباه در ابهام"), 0, IF(OR('تست کور'!J52="از قلم افتادن بخش دوم در جمله مرکب", 'تست کور'!I52="عدم تفکیک رویدادها"), 3, IF('تست کور'!I52="قبولی مشروط (Conditional)", 11, 8)))))</f>
        <v/>
      </c>
      <c r="H52" s="10">
        <f>IF(C52="", "", C52+D52+E52+F52+G52)</f>
        <v/>
      </c>
      <c r="I52" s="12">
        <f>IF(H52="", "در انتظار آزمون", IF(H52&gt;=85, "قبولی ممتاز (Passed)", IF(H52&gt;=70, "قبولی متوسط (Acceptable)", IF(H52&gt;=50, "نیازمند بازآموزی (Retrain)", "مردود (Failed)"))))</f>
        <v/>
      </c>
      <c r="J52" s="12">
        <f>IF('تست کور'!I52="", "تست نشده", 'تست کور'!I52)</f>
        <v/>
      </c>
    </row>
    <row r="53">
      <c r="A53" s="12">
        <f>'تست کور'!A53</f>
        <v/>
      </c>
      <c r="B53" s="12">
        <f>'تست کور'!B53</f>
        <v/>
      </c>
      <c r="C53" s="10">
        <f>IF(OR('تست کور'!I53="", 'تست کور'!I53="امتناع درست — قاعده‌اش در این فاز ساخته نشده"), "", IF('تست کور'!I53="قبولی کامل (Pass)", 25, IF('تست کور'!J53="خطا در تشخیص ماهیت رویداد", 0, IF('تست کور'!I53="قبولی مشروط (Conditional)", 20, 15))))</f>
        <v/>
      </c>
      <c r="D53" s="10">
        <f>IF(OR('تست کور'!I53="", 'تست کور'!I53="امتناع درست — قاعده‌اش در این فاز ساخته نشده"), "", IF('تست کور'!I53="قبولی کامل (Pass)", 25, IF(OR('تست کور'!J53="جابجایی یا اشتباه بدهکار/بستانکار", 'تست کور'!I53="خطا در تشخیص سرفصل"), 0, IF('تست کور'!I53="قبولی مشروط (Conditional)", 18, 10))))</f>
        <v/>
      </c>
      <c r="E53" s="10">
        <f>IF(OR('تست کور'!I53="", 'تست کور'!I53="امتناع درست — قاعده‌اش در این فاز ساخته نشده"), "", IF('تست کور'!I53="قبولی کامل (Pass)", 20, IF(OR('تست کور'!J53="استخراج اشتباه مبلغ یا ارقام", 'تست کور'!I53="خطا در استخراج مبلغ"), 0, IF('تست کور'!I53="قبولی مشروط (Conditional)", 15, 12))))</f>
        <v/>
      </c>
      <c r="F53" s="10">
        <f>IF(OR('تست کور'!I53="", 'تست کور'!I53="امتناع درست — قاعده‌اش در این فاز ساخته نشده"), "", IF('تست کور'!I53="قبولی کامل (Pass)", 15, IF('تست کور'!J53="عدم تشخیص سررسید یا طرف‌حساب", 0, IF('تست کور'!I53="قبولی مشروط (Conditional)", 11, 10))))</f>
        <v/>
      </c>
      <c r="G53" s="10">
        <f>IF(OR('تست کور'!I53="", 'تست کور'!I53="امتناع درست — قاعده‌اش در این فاز ساخته نشده"), "", IF('تست کور'!I53="قبولی کامل (Pass)", 15, IF(OR('تست کور'!J53="عدم طرح سؤال در سناریوی مبهم", 'تست کور'!J53="طرح سؤال تکمیلی غلط و توهم اطلاعات", 'تست کور'!I53="سؤال تکمیلی نامربوط/توهم", 'تست کور'!I53="سکوت اشتباه در ابهام"), 0, IF(OR('تست کور'!J53="از قلم افتادن بخش دوم در جمله مرکب", 'تست کور'!I53="عدم تفکیک رویدادها"), 3, IF('تست کور'!I53="قبولی مشروط (Conditional)", 11, 8)))))</f>
        <v/>
      </c>
      <c r="H53" s="10">
        <f>IF(C53="", "", C53+D53+E53+F53+G53)</f>
        <v/>
      </c>
      <c r="I53" s="12">
        <f>IF(H53="", "در انتظار آزمون", IF(H53&gt;=85, "قبولی ممتاز (Passed)", IF(H53&gt;=70, "قبولی متوسط (Acceptable)", IF(H53&gt;=50, "نیازمند بازآموزی (Retrain)", "مردود (Failed)"))))</f>
        <v/>
      </c>
      <c r="J53" s="12">
        <f>IF('تست کور'!I53="", "تست نشده", 'تست کور'!I53)</f>
        <v/>
      </c>
    </row>
    <row r="54">
      <c r="A54" s="12">
        <f>'تست کور'!A54</f>
        <v/>
      </c>
      <c r="B54" s="12">
        <f>'تست کور'!B54</f>
        <v/>
      </c>
      <c r="C54" s="10">
        <f>IF(OR('تست کور'!I54="", 'تست کور'!I54="امتناع درست — قاعده‌اش در این فاز ساخته نشده"), "", IF('تست کور'!I54="قبولی کامل (Pass)", 25, IF('تست کور'!J54="خطا در تشخیص ماهیت رویداد", 0, IF('تست کور'!I54="قبولی مشروط (Conditional)", 20, 15))))</f>
        <v/>
      </c>
      <c r="D54" s="10">
        <f>IF(OR('تست کور'!I54="", 'تست کور'!I54="امتناع درست — قاعده‌اش در این فاز ساخته نشده"), "", IF('تست کور'!I54="قبولی کامل (Pass)", 25, IF(OR('تست کور'!J54="جابجایی یا اشتباه بدهکار/بستانکار", 'تست کور'!I54="خطا در تشخیص سرفصل"), 0, IF('تست کور'!I54="قبولی مشروط (Conditional)", 18, 10))))</f>
        <v/>
      </c>
      <c r="E54" s="10">
        <f>IF(OR('تست کور'!I54="", 'تست کور'!I54="امتناع درست — قاعده‌اش در این فاز ساخته نشده"), "", IF('تست کور'!I54="قبولی کامل (Pass)", 20, IF(OR('تست کور'!J54="استخراج اشتباه مبلغ یا ارقام", 'تست کور'!I54="خطا در استخراج مبلغ"), 0, IF('تست کور'!I54="قبولی مشروط (Conditional)", 15, 12))))</f>
        <v/>
      </c>
      <c r="F54" s="10">
        <f>IF(OR('تست کور'!I54="", 'تست کور'!I54="امتناع درست — قاعده‌اش در این فاز ساخته نشده"), "", IF('تست کور'!I54="قبولی کامل (Pass)", 15, IF('تست کور'!J54="عدم تشخیص سررسید یا طرف‌حساب", 0, IF('تست کور'!I54="قبولی مشروط (Conditional)", 11, 10))))</f>
        <v/>
      </c>
      <c r="G54" s="10">
        <f>IF(OR('تست کور'!I54="", 'تست کور'!I54="امتناع درست — قاعده‌اش در این فاز ساخته نشده"), "", IF('تست کور'!I54="قبولی کامل (Pass)", 15, IF(OR('تست کور'!J54="عدم طرح سؤال در سناریوی مبهم", 'تست کور'!J54="طرح سؤال تکمیلی غلط و توهم اطلاعات", 'تست کور'!I54="سؤال تکمیلی نامربوط/توهم", 'تست کور'!I54="سکوت اشتباه در ابهام"), 0, IF(OR('تست کور'!J54="از قلم افتادن بخش دوم در جمله مرکب", 'تست کور'!I54="عدم تفکیک رویدادها"), 3, IF('تست کور'!I54="قبولی مشروط (Conditional)", 11, 8)))))</f>
        <v/>
      </c>
      <c r="H54" s="10">
        <f>IF(C54="", "", C54+D54+E54+F54+G54)</f>
        <v/>
      </c>
      <c r="I54" s="12">
        <f>IF(H54="", "در انتظار آزمون", IF(H54&gt;=85, "قبولی ممتاز (Passed)", IF(H54&gt;=70, "قبولی متوسط (Acceptable)", IF(H54&gt;=50, "نیازمند بازآموزی (Retrain)", "مردود (Failed)"))))</f>
        <v/>
      </c>
      <c r="J54" s="12">
        <f>IF('تست کور'!I54="", "تست نشده", 'تست کور'!I54)</f>
        <v/>
      </c>
    </row>
    <row r="55">
      <c r="A55" s="12">
        <f>'تست کور'!A55</f>
        <v/>
      </c>
      <c r="B55" s="12">
        <f>'تست کور'!B55</f>
        <v/>
      </c>
      <c r="C55" s="10">
        <f>IF(OR('تست کور'!I55="", 'تست کور'!I55="امتناع درست — قاعده‌اش در این فاز ساخته نشده"), "", IF('تست کور'!I55="قبولی کامل (Pass)", 25, IF('تست کور'!J55="خطا در تشخیص ماهیت رویداد", 0, IF('تست کور'!I55="قبولی مشروط (Conditional)", 20, 15))))</f>
        <v/>
      </c>
      <c r="D55" s="10">
        <f>IF(OR('تست کور'!I55="", 'تست کور'!I55="امتناع درست — قاعده‌اش در این فاز ساخته نشده"), "", IF('تست کور'!I55="قبولی کامل (Pass)", 25, IF(OR('تست کور'!J55="جابجایی یا اشتباه بدهکار/بستانکار", 'تست کور'!I55="خطا در تشخیص سرفصل"), 0, IF('تست کور'!I55="قبولی مشروط (Conditional)", 18, 10))))</f>
        <v/>
      </c>
      <c r="E55" s="10">
        <f>IF(OR('تست کور'!I55="", 'تست کور'!I55="امتناع درست — قاعده‌اش در این فاز ساخته نشده"), "", IF('تست کور'!I55="قبولی کامل (Pass)", 20, IF(OR('تست کور'!J55="استخراج اشتباه مبلغ یا ارقام", 'تست کور'!I55="خطا در استخراج مبلغ"), 0, IF('تست کور'!I55="قبولی مشروط (Conditional)", 15, 12))))</f>
        <v/>
      </c>
      <c r="F55" s="10">
        <f>IF(OR('تست کور'!I55="", 'تست کور'!I55="امتناع درست — قاعده‌اش در این فاز ساخته نشده"), "", IF('تست کور'!I55="قبولی کامل (Pass)", 15, IF('تست کور'!J55="عدم تشخیص سررسید یا طرف‌حساب", 0, IF('تست کور'!I55="قبولی مشروط (Conditional)", 11, 10))))</f>
        <v/>
      </c>
      <c r="G55" s="10">
        <f>IF(OR('تست کور'!I55="", 'تست کور'!I55="امتناع درست — قاعده‌اش در این فاز ساخته نشده"), "", IF('تست کور'!I55="قبولی کامل (Pass)", 15, IF(OR('تست کور'!J55="عدم طرح سؤال در سناریوی مبهم", 'تست کور'!J55="طرح سؤال تکمیلی غلط و توهم اطلاعات", 'تست کور'!I55="سؤال تکمیلی نامربوط/توهم", 'تست کور'!I55="سکوت اشتباه در ابهام"), 0, IF(OR('تست کور'!J55="از قلم افتادن بخش دوم در جمله مرکب", 'تست کور'!I55="عدم تفکیک رویدادها"), 3, IF('تست کور'!I55="قبولی مشروط (Conditional)", 11, 8)))))</f>
        <v/>
      </c>
      <c r="H55" s="10">
        <f>IF(C55="", "", C55+D55+E55+F55+G55)</f>
        <v/>
      </c>
      <c r="I55" s="12">
        <f>IF(H55="", "در انتظار آزمون", IF(H55&gt;=85, "قبولی ممتاز (Passed)", IF(H55&gt;=70, "قبولی متوسط (Acceptable)", IF(H55&gt;=50, "نیازمند بازآموزی (Retrain)", "مردود (Failed)"))))</f>
        <v/>
      </c>
      <c r="J55" s="12">
        <f>IF('تست کور'!I55="", "تست نشده", 'تست کور'!I55)</f>
        <v/>
      </c>
    </row>
    <row r="56">
      <c r="A56" s="12">
        <f>'تست کور'!A56</f>
        <v/>
      </c>
      <c r="B56" s="12">
        <f>'تست کور'!B56</f>
        <v/>
      </c>
      <c r="C56" s="10">
        <f>IF(OR('تست کور'!I56="", 'تست کور'!I56="امتناع درست — قاعده‌اش در این فاز ساخته نشده"), "", IF('تست کور'!I56="قبولی کامل (Pass)", 25, IF('تست کور'!J56="خطا در تشخیص ماهیت رویداد", 0, IF('تست کور'!I56="قبولی مشروط (Conditional)", 20, 15))))</f>
        <v/>
      </c>
      <c r="D56" s="10">
        <f>IF(OR('تست کور'!I56="", 'تست کور'!I56="امتناع درست — قاعده‌اش در این فاز ساخته نشده"), "", IF('تست کور'!I56="قبولی کامل (Pass)", 25, IF(OR('تست کور'!J56="جابجایی یا اشتباه بدهکار/بستانکار", 'تست کور'!I56="خطا در تشخیص سرفصل"), 0, IF('تست کور'!I56="قبولی مشروط (Conditional)", 18, 10))))</f>
        <v/>
      </c>
      <c r="E56" s="10">
        <f>IF(OR('تست کور'!I56="", 'تست کور'!I56="امتناع درست — قاعده‌اش در این فاز ساخته نشده"), "", IF('تست کور'!I56="قبولی کامل (Pass)", 20, IF(OR('تست کور'!J56="استخراج اشتباه مبلغ یا ارقام", 'تست کور'!I56="خطا در استخراج مبلغ"), 0, IF('تست کور'!I56="قبولی مشروط (Conditional)", 15, 12))))</f>
        <v/>
      </c>
      <c r="F56" s="10">
        <f>IF(OR('تست کور'!I56="", 'تست کور'!I56="امتناع درست — قاعده‌اش در این فاز ساخته نشده"), "", IF('تست کور'!I56="قبولی کامل (Pass)", 15, IF('تست کور'!J56="عدم تشخیص سررسید یا طرف‌حساب", 0, IF('تست کور'!I56="قبولی مشروط (Conditional)", 11, 10))))</f>
        <v/>
      </c>
      <c r="G56" s="10">
        <f>IF(OR('تست کور'!I56="", 'تست کور'!I56="امتناع درست — قاعده‌اش در این فاز ساخته نشده"), "", IF('تست کور'!I56="قبولی کامل (Pass)", 15, IF(OR('تست کور'!J56="عدم طرح سؤال در سناریوی مبهم", 'تست کور'!J56="طرح سؤال تکمیلی غلط و توهم اطلاعات", 'تست کور'!I56="سؤال تکمیلی نامربوط/توهم", 'تست کور'!I56="سکوت اشتباه در ابهام"), 0, IF(OR('تست کور'!J56="از قلم افتادن بخش دوم در جمله مرکب", 'تست کور'!I56="عدم تفکیک رویدادها"), 3, IF('تست کور'!I56="قبولی مشروط (Conditional)", 11, 8)))))</f>
        <v/>
      </c>
      <c r="H56" s="10">
        <f>IF(C56="", "", C56+D56+E56+F56+G56)</f>
        <v/>
      </c>
      <c r="I56" s="12">
        <f>IF(H56="", "در انتظار آزمون", IF(H56&gt;=85, "قبولی ممتاز (Passed)", IF(H56&gt;=70, "قبولی متوسط (Acceptable)", IF(H56&gt;=50, "نیازمند بازآموزی (Retrain)", "مردود (Failed)"))))</f>
        <v/>
      </c>
      <c r="J56" s="12">
        <f>IF('تست کور'!I56="", "تست نشده", 'تست کور'!I56)</f>
        <v/>
      </c>
    </row>
    <row r="57">
      <c r="A57" s="12">
        <f>'تست کور'!A57</f>
        <v/>
      </c>
      <c r="B57" s="12">
        <f>'تست کور'!B57</f>
        <v/>
      </c>
      <c r="C57" s="10">
        <f>IF(OR('تست کور'!I57="", 'تست کور'!I57="امتناع درست — قاعده‌اش در این فاز ساخته نشده"), "", IF('تست کور'!I57="قبولی کامل (Pass)", 25, IF('تست کور'!J57="خطا در تشخیص ماهیت رویداد", 0, IF('تست کور'!I57="قبولی مشروط (Conditional)", 20, 15))))</f>
        <v/>
      </c>
      <c r="D57" s="10">
        <f>IF(OR('تست کور'!I57="", 'تست کور'!I57="امتناع درست — قاعده‌اش در این فاز ساخته نشده"), "", IF('تست کور'!I57="قبولی کامل (Pass)", 25, IF(OR('تست کور'!J57="جابجایی یا اشتباه بدهکار/بستانکار", 'تست کور'!I57="خطا در تشخیص سرفصل"), 0, IF('تست کور'!I57="قبولی مشروط (Conditional)", 18, 10))))</f>
        <v/>
      </c>
      <c r="E57" s="10">
        <f>IF(OR('تست کور'!I57="", 'تست کور'!I57="امتناع درست — قاعده‌اش در این فاز ساخته نشده"), "", IF('تست کور'!I57="قبولی کامل (Pass)", 20, IF(OR('تست کور'!J57="استخراج اشتباه مبلغ یا ارقام", 'تست کور'!I57="خطا در استخراج مبلغ"), 0, IF('تست کور'!I57="قبولی مشروط (Conditional)", 15, 12))))</f>
        <v/>
      </c>
      <c r="F57" s="10">
        <f>IF(OR('تست کور'!I57="", 'تست کور'!I57="امتناع درست — قاعده‌اش در این فاز ساخته نشده"), "", IF('تست کور'!I57="قبولی کامل (Pass)", 15, IF('تست کور'!J57="عدم تشخیص سررسید یا طرف‌حساب", 0, IF('تست کور'!I57="قبولی مشروط (Conditional)", 11, 10))))</f>
        <v/>
      </c>
      <c r="G57" s="10">
        <f>IF(OR('تست کور'!I57="", 'تست کور'!I57="امتناع درست — قاعده‌اش در این فاز ساخته نشده"), "", IF('تست کور'!I57="قبولی کامل (Pass)", 15, IF(OR('تست کور'!J57="عدم طرح سؤال در سناریوی مبهم", 'تست کور'!J57="طرح سؤال تکمیلی غلط و توهم اطلاعات", 'تست کور'!I57="سؤال تکمیلی نامربوط/توهم", 'تست کور'!I57="سکوت اشتباه در ابهام"), 0, IF(OR('تست کور'!J57="از قلم افتادن بخش دوم در جمله مرکب", 'تست کور'!I57="عدم تفکیک رویدادها"), 3, IF('تست کور'!I57="قبولی مشروط (Conditional)", 11, 8)))))</f>
        <v/>
      </c>
      <c r="H57" s="10">
        <f>IF(C57="", "", C57+D57+E57+F57+G57)</f>
        <v/>
      </c>
      <c r="I57" s="12">
        <f>IF(H57="", "در انتظار آزمون", IF(H57&gt;=85, "قبولی ممتاز (Passed)", IF(H57&gt;=70, "قبولی متوسط (Acceptable)", IF(H57&gt;=50, "نیازمند بازآموزی (Retrain)", "مردود (Failed)"))))</f>
        <v/>
      </c>
      <c r="J57" s="12">
        <f>IF('تست کور'!I57="", "تست نشده", 'تست کور'!I57)</f>
        <v/>
      </c>
    </row>
    <row r="58">
      <c r="A58" s="12">
        <f>'تست کور'!A58</f>
        <v/>
      </c>
      <c r="B58" s="12">
        <f>'تست کور'!B58</f>
        <v/>
      </c>
      <c r="C58" s="10">
        <f>IF(OR('تست کور'!I58="", 'تست کور'!I58="امتناع درست — قاعده‌اش در این فاز ساخته نشده"), "", IF('تست کور'!I58="قبولی کامل (Pass)", 25, IF('تست کور'!J58="خطا در تشخیص ماهیت رویداد", 0, IF('تست کور'!I58="قبولی مشروط (Conditional)", 20, 15))))</f>
        <v/>
      </c>
      <c r="D58" s="10">
        <f>IF(OR('تست کور'!I58="", 'تست کور'!I58="امتناع درست — قاعده‌اش در این فاز ساخته نشده"), "", IF('تست کور'!I58="قبولی کامل (Pass)", 25, IF(OR('تست کور'!J58="جابجایی یا اشتباه بدهکار/بستانکار", 'تست کور'!I58="خطا در تشخیص سرفصل"), 0, IF('تست کور'!I58="قبولی مشروط (Conditional)", 18, 10))))</f>
        <v/>
      </c>
      <c r="E58" s="10">
        <f>IF(OR('تست کور'!I58="", 'تست کور'!I58="امتناع درست — قاعده‌اش در این فاز ساخته نشده"), "", IF('تست کور'!I58="قبولی کامل (Pass)", 20, IF(OR('تست کور'!J58="استخراج اشتباه مبلغ یا ارقام", 'تست کور'!I58="خطا در استخراج مبلغ"), 0, IF('تست کور'!I58="قبولی مشروط (Conditional)", 15, 12))))</f>
        <v/>
      </c>
      <c r="F58" s="10">
        <f>IF(OR('تست کور'!I58="", 'تست کور'!I58="امتناع درست — قاعده‌اش در این فاز ساخته نشده"), "", IF('تست کور'!I58="قبولی کامل (Pass)", 15, IF('تست کور'!J58="عدم تشخیص سررسید یا طرف‌حساب", 0, IF('تست کور'!I58="قبولی مشروط (Conditional)", 11, 10))))</f>
        <v/>
      </c>
      <c r="G58" s="10">
        <f>IF(OR('تست کور'!I58="", 'تست کور'!I58="امتناع درست — قاعده‌اش در این فاز ساخته نشده"), "", IF('تست کور'!I58="قبولی کامل (Pass)", 15, IF(OR('تست کور'!J58="عدم طرح سؤال در سناریوی مبهم", 'تست کور'!J58="طرح سؤال تکمیلی غلط و توهم اطلاعات", 'تست کور'!I58="سؤال تکمیلی نامربوط/توهم", 'تست کور'!I58="سکوت اشتباه در ابهام"), 0, IF(OR('تست کور'!J58="از قلم افتادن بخش دوم در جمله مرکب", 'تست کور'!I58="عدم تفکیک رویدادها"), 3, IF('تست کور'!I58="قبولی مشروط (Conditional)", 11, 8)))))</f>
        <v/>
      </c>
      <c r="H58" s="10">
        <f>IF(C58="", "", C58+D58+E58+F58+G58)</f>
        <v/>
      </c>
      <c r="I58" s="12">
        <f>IF(H58="", "در انتظار آزمون", IF(H58&gt;=85, "قبولی ممتاز (Passed)", IF(H58&gt;=70, "قبولی متوسط (Acceptable)", IF(H58&gt;=50, "نیازمند بازآموزی (Retrain)", "مردود (Failed)"))))</f>
        <v/>
      </c>
      <c r="J58" s="12">
        <f>IF('تست کور'!I58="", "تست نشده", 'تست کور'!I58)</f>
        <v/>
      </c>
    </row>
    <row r="59">
      <c r="A59" s="12">
        <f>'تست کور'!A59</f>
        <v/>
      </c>
      <c r="B59" s="12">
        <f>'تست کور'!B59</f>
        <v/>
      </c>
      <c r="C59" s="10">
        <f>IF(OR('تست کور'!I59="", 'تست کور'!I59="امتناع درست — قاعده‌اش در این فاز ساخته نشده"), "", IF('تست کور'!I59="قبولی کامل (Pass)", 25, IF('تست کور'!J59="خطا در تشخیص ماهیت رویداد", 0, IF('تست کور'!I59="قبولی مشروط (Conditional)", 20, 15))))</f>
        <v/>
      </c>
      <c r="D59" s="10">
        <f>IF(OR('تست کور'!I59="", 'تست کور'!I59="امتناع درست — قاعده‌اش در این فاز ساخته نشده"), "", IF('تست کور'!I59="قبولی کامل (Pass)", 25, IF(OR('تست کور'!J59="جابجایی یا اشتباه بدهکار/بستانکار", 'تست کور'!I59="خطا در تشخیص سرفصل"), 0, IF('تست کور'!I59="قبولی مشروط (Conditional)", 18, 10))))</f>
        <v/>
      </c>
      <c r="E59" s="10">
        <f>IF(OR('تست کور'!I59="", 'تست کور'!I59="امتناع درست — قاعده‌اش در این فاز ساخته نشده"), "", IF('تست کور'!I59="قبولی کامل (Pass)", 20, IF(OR('تست کور'!J59="استخراج اشتباه مبلغ یا ارقام", 'تست کور'!I59="خطا در استخراج مبلغ"), 0, IF('تست کور'!I59="قبولی مشروط (Conditional)", 15, 12))))</f>
        <v/>
      </c>
      <c r="F59" s="10">
        <f>IF(OR('تست کور'!I59="", 'تست کور'!I59="امتناع درست — قاعده‌اش در این فاز ساخته نشده"), "", IF('تست کور'!I59="قبولی کامل (Pass)", 15, IF('تست کور'!J59="عدم تشخیص سررسید یا طرف‌حساب", 0, IF('تست کور'!I59="قبولی مشروط (Conditional)", 11, 10))))</f>
        <v/>
      </c>
      <c r="G59" s="10">
        <f>IF(OR('تست کور'!I59="", 'تست کور'!I59="امتناع درست — قاعده‌اش در این فاز ساخته نشده"), "", IF('تست کور'!I59="قبولی کامل (Pass)", 15, IF(OR('تست کور'!J59="عدم طرح سؤال در سناریوی مبهم", 'تست کور'!J59="طرح سؤال تکمیلی غلط و توهم اطلاعات", 'تست کور'!I59="سؤال تکمیلی نامربوط/توهم", 'تست کور'!I59="سکوت اشتباه در ابهام"), 0, IF(OR('تست کور'!J59="از قلم افتادن بخش دوم در جمله مرکب", 'تست کور'!I59="عدم تفکیک رویدادها"), 3, IF('تست کور'!I59="قبولی مشروط (Conditional)", 11, 8)))))</f>
        <v/>
      </c>
      <c r="H59" s="10">
        <f>IF(C59="", "", C59+D59+E59+F59+G59)</f>
        <v/>
      </c>
      <c r="I59" s="12">
        <f>IF(H59="", "در انتظار آزمون", IF(H59&gt;=85, "قبولی ممتاز (Passed)", IF(H59&gt;=70, "قبولی متوسط (Acceptable)", IF(H59&gt;=50, "نیازمند بازآموزی (Retrain)", "مردود (Failed)"))))</f>
        <v/>
      </c>
      <c r="J59" s="12">
        <f>IF('تست کور'!I59="", "تست نشده", 'تست کور'!I59)</f>
        <v/>
      </c>
    </row>
    <row r="60">
      <c r="A60" s="12">
        <f>'تست کور'!A60</f>
        <v/>
      </c>
      <c r="B60" s="12">
        <f>'تست کور'!B60</f>
        <v/>
      </c>
      <c r="C60" s="10">
        <f>IF(OR('تست کور'!I60="", 'تست کور'!I60="امتناع درست — قاعده‌اش در این فاز ساخته نشده"), "", IF('تست کور'!I60="قبولی کامل (Pass)", 25, IF('تست کور'!J60="خطا در تشخیص ماهیت رویداد", 0, IF('تست کور'!I60="قبولی مشروط (Conditional)", 20, 15))))</f>
        <v/>
      </c>
      <c r="D60" s="10">
        <f>IF(OR('تست کور'!I60="", 'تست کور'!I60="امتناع درست — قاعده‌اش در این فاز ساخته نشده"), "", IF('تست کور'!I60="قبولی کامل (Pass)", 25, IF(OR('تست کور'!J60="جابجایی یا اشتباه بدهکار/بستانکار", 'تست کور'!I60="خطا در تشخیص سرفصل"), 0, IF('تست کور'!I60="قبولی مشروط (Conditional)", 18, 10))))</f>
        <v/>
      </c>
      <c r="E60" s="10">
        <f>IF(OR('تست کور'!I60="", 'تست کور'!I60="امتناع درست — قاعده‌اش در این فاز ساخته نشده"), "", IF('تست کور'!I60="قبولی کامل (Pass)", 20, IF(OR('تست کور'!J60="استخراج اشتباه مبلغ یا ارقام", 'تست کور'!I60="خطا در استخراج مبلغ"), 0, IF('تست کور'!I60="قبولی مشروط (Conditional)", 15, 12))))</f>
        <v/>
      </c>
      <c r="F60" s="10">
        <f>IF(OR('تست کور'!I60="", 'تست کور'!I60="امتناع درست — قاعده‌اش در این فاز ساخته نشده"), "", IF('تست کور'!I60="قبولی کامل (Pass)", 15, IF('تست کور'!J60="عدم تشخیص سررسید یا طرف‌حساب", 0, IF('تست کور'!I60="قبولی مشروط (Conditional)", 11, 10))))</f>
        <v/>
      </c>
      <c r="G60" s="10">
        <f>IF(OR('تست کور'!I60="", 'تست کور'!I60="امتناع درست — قاعده‌اش در این فاز ساخته نشده"), "", IF('تست کور'!I60="قبولی کامل (Pass)", 15, IF(OR('تست کور'!J60="عدم طرح سؤال در سناریوی مبهم", 'تست کور'!J60="طرح سؤال تکمیلی غلط و توهم اطلاعات", 'تست کور'!I60="سؤال تکمیلی نامربوط/توهم", 'تست کور'!I60="سکوت اشتباه در ابهام"), 0, IF(OR('تست کور'!J60="از قلم افتادن بخش دوم در جمله مرکب", 'تست کور'!I60="عدم تفکیک رویدادها"), 3, IF('تست کور'!I60="قبولی مشروط (Conditional)", 11, 8)))))</f>
        <v/>
      </c>
      <c r="H60" s="10">
        <f>IF(C60="", "", C60+D60+E60+F60+G60)</f>
        <v/>
      </c>
      <c r="I60" s="12">
        <f>IF(H60="", "در انتظار آزمون", IF(H60&gt;=85, "قبولی ممتاز (Passed)", IF(H60&gt;=70, "قبولی متوسط (Acceptable)", IF(H60&gt;=50, "نیازمند بازآموزی (Retrain)", "مردود (Failed)"))))</f>
        <v/>
      </c>
      <c r="J60" s="12">
        <f>IF('تست کور'!I60="", "تست نشده", 'تست کور'!I60)</f>
        <v/>
      </c>
    </row>
    <row r="61">
      <c r="A61" s="12">
        <f>'تست کور'!A61</f>
        <v/>
      </c>
      <c r="B61" s="12">
        <f>'تست کور'!B61</f>
        <v/>
      </c>
      <c r="C61" s="10">
        <f>IF(OR('تست کور'!I61="", 'تست کور'!I61="امتناع درست — قاعده‌اش در این فاز ساخته نشده"), "", IF('تست کور'!I61="قبولی کامل (Pass)", 25, IF('تست کور'!J61="خطا در تشخیص ماهیت رویداد", 0, IF('تست کور'!I61="قبولی مشروط (Conditional)", 20, 15))))</f>
        <v/>
      </c>
      <c r="D61" s="10">
        <f>IF(OR('تست کور'!I61="", 'تست کور'!I61="امتناع درست — قاعده‌اش در این فاز ساخته نشده"), "", IF('تست کور'!I61="قبولی کامل (Pass)", 25, IF(OR('تست کور'!J61="جابجایی یا اشتباه بدهکار/بستانکار", 'تست کور'!I61="خطا در تشخیص سرفصل"), 0, IF('تست کور'!I61="قبولی مشروط (Conditional)", 18, 10))))</f>
        <v/>
      </c>
      <c r="E61" s="10">
        <f>IF(OR('تست کور'!I61="", 'تست کور'!I61="امتناع درست — قاعده‌اش در این فاز ساخته نشده"), "", IF('تست کور'!I61="قبولی کامل (Pass)", 20, IF(OR('تست کور'!J61="استخراج اشتباه مبلغ یا ارقام", 'تست کور'!I61="خطا در استخراج مبلغ"), 0, IF('تست کور'!I61="قبولی مشروط (Conditional)", 15, 12))))</f>
        <v/>
      </c>
      <c r="F61" s="10">
        <f>IF(OR('تست کور'!I61="", 'تست کور'!I61="امتناع درست — قاعده‌اش در این فاز ساخته نشده"), "", IF('تست کور'!I61="قبولی کامل (Pass)", 15, IF('تست کور'!J61="عدم تشخیص سررسید یا طرف‌حساب", 0, IF('تست کور'!I61="قبولی مشروط (Conditional)", 11, 10))))</f>
        <v/>
      </c>
      <c r="G61" s="10">
        <f>IF(OR('تست کور'!I61="", 'تست کور'!I61="امتناع درست — قاعده‌اش در این فاز ساخته نشده"), "", IF('تست کور'!I61="قبولی کامل (Pass)", 15, IF(OR('تست کور'!J61="عدم طرح سؤال در سناریوی مبهم", 'تست کور'!J61="طرح سؤال تکمیلی غلط و توهم اطلاعات", 'تست کور'!I61="سؤال تکمیلی نامربوط/توهم", 'تست کور'!I61="سکوت اشتباه در ابهام"), 0, IF(OR('تست کور'!J61="از قلم افتادن بخش دوم در جمله مرکب", 'تست کور'!I61="عدم تفکیک رویدادها"), 3, IF('تست کور'!I61="قبولی مشروط (Conditional)", 11, 8)))))</f>
        <v/>
      </c>
      <c r="H61" s="10">
        <f>IF(C61="", "", C61+D61+E61+F61+G61)</f>
        <v/>
      </c>
      <c r="I61" s="12">
        <f>IF(H61="", "در انتظار آزمون", IF(H61&gt;=85, "قبولی ممتاز (Passed)", IF(H61&gt;=70, "قبولی متوسط (Acceptable)", IF(H61&gt;=50, "نیازمند بازآموزی (Retrain)", "مردود (Failed)"))))</f>
        <v/>
      </c>
      <c r="J61" s="12">
        <f>IF('تست کور'!I61="", "تست نشده", 'تست کور'!I61)</f>
        <v/>
      </c>
    </row>
    <row r="62">
      <c r="A62" s="12">
        <f>'تست کور'!A62</f>
        <v/>
      </c>
      <c r="B62" s="12">
        <f>'تست کور'!B62</f>
        <v/>
      </c>
      <c r="C62" s="10">
        <f>IF(OR('تست کور'!I62="", 'تست کور'!I62="امتناع درست — قاعده‌اش در این فاز ساخته نشده"), "", IF('تست کور'!I62="قبولی کامل (Pass)", 25, IF('تست کور'!J62="خطا در تشخیص ماهیت رویداد", 0, IF('تست کور'!I62="قبولی مشروط (Conditional)", 20, 15))))</f>
        <v/>
      </c>
      <c r="D62" s="10">
        <f>IF(OR('تست کور'!I62="", 'تست کور'!I62="امتناع درست — قاعده‌اش در این فاز ساخته نشده"), "", IF('تست کور'!I62="قبولی کامل (Pass)", 25, IF(OR('تست کور'!J62="جابجایی یا اشتباه بدهکار/بستانکار", 'تست کور'!I62="خطا در تشخیص سرفصل"), 0, IF('تست کور'!I62="قبولی مشروط (Conditional)", 18, 10))))</f>
        <v/>
      </c>
      <c r="E62" s="10">
        <f>IF(OR('تست کور'!I62="", 'تست کور'!I62="امتناع درست — قاعده‌اش در این فاز ساخته نشده"), "", IF('تست کور'!I62="قبولی کامل (Pass)", 20, IF(OR('تست کور'!J62="استخراج اشتباه مبلغ یا ارقام", 'تست کور'!I62="خطا در استخراج مبلغ"), 0, IF('تست کور'!I62="قبولی مشروط (Conditional)", 15, 12))))</f>
        <v/>
      </c>
      <c r="F62" s="10">
        <f>IF(OR('تست کور'!I62="", 'تست کور'!I62="امتناع درست — قاعده‌اش در این فاز ساخته نشده"), "", IF('تست کور'!I62="قبولی کامل (Pass)", 15, IF('تست کور'!J62="عدم تشخیص سررسید یا طرف‌حساب", 0, IF('تست کور'!I62="قبولی مشروط (Conditional)", 11, 10))))</f>
        <v/>
      </c>
      <c r="G62" s="10">
        <f>IF(OR('تست کور'!I62="", 'تست کور'!I62="امتناع درست — قاعده‌اش در این فاز ساخته نشده"), "", IF('تست کور'!I62="قبولی کامل (Pass)", 15, IF(OR('تست کور'!J62="عدم طرح سؤال در سناریوی مبهم", 'تست کور'!J62="طرح سؤال تکمیلی غلط و توهم اطلاعات", 'تست کور'!I62="سؤال تکمیلی نامربوط/توهم", 'تست کور'!I62="سکوت اشتباه در ابهام"), 0, IF(OR('تست کور'!J62="از قلم افتادن بخش دوم در جمله مرکب", 'تست کور'!I62="عدم تفکیک رویدادها"), 3, IF('تست کور'!I62="قبولی مشروط (Conditional)", 11, 8)))))</f>
        <v/>
      </c>
      <c r="H62" s="10">
        <f>IF(C62="", "", C62+D62+E62+F62+G62)</f>
        <v/>
      </c>
      <c r="I62" s="12">
        <f>IF(H62="", "در انتظار آزمون", IF(H62&gt;=85, "قبولی ممتاز (Passed)", IF(H62&gt;=70, "قبولی متوسط (Acceptable)", IF(H62&gt;=50, "نیازمند بازآموزی (Retrain)", "مردود (Failed)"))))</f>
        <v/>
      </c>
      <c r="J62" s="12">
        <f>IF('تست کور'!I62="", "تست نشده", 'تست کور'!I62)</f>
        <v/>
      </c>
    </row>
    <row r="63">
      <c r="A63" s="12">
        <f>'تست کور'!A63</f>
        <v/>
      </c>
      <c r="B63" s="12">
        <f>'تست کور'!B63</f>
        <v/>
      </c>
      <c r="C63" s="10">
        <f>IF(OR('تست کور'!I63="", 'تست کور'!I63="امتناع درست — قاعده‌اش در این فاز ساخته نشده"), "", IF('تست کور'!I63="قبولی کامل (Pass)", 25, IF('تست کور'!J63="خطا در تشخیص ماهیت رویداد", 0, IF('تست کور'!I63="قبولی مشروط (Conditional)", 20, 15))))</f>
        <v/>
      </c>
      <c r="D63" s="10">
        <f>IF(OR('تست کور'!I63="", 'تست کور'!I63="امتناع درست — قاعده‌اش در این فاز ساخته نشده"), "", IF('تست کور'!I63="قبولی کامل (Pass)", 25, IF(OR('تست کور'!J63="جابجایی یا اشتباه بدهکار/بستانکار", 'تست کور'!I63="خطا در تشخیص سرفصل"), 0, IF('تست کور'!I63="قبولی مشروط (Conditional)", 18, 10))))</f>
        <v/>
      </c>
      <c r="E63" s="10">
        <f>IF(OR('تست کور'!I63="", 'تست کور'!I63="امتناع درست — قاعده‌اش در این فاز ساخته نشده"), "", IF('تست کور'!I63="قبولی کامل (Pass)", 20, IF(OR('تست کور'!J63="استخراج اشتباه مبلغ یا ارقام", 'تست کور'!I63="خطا در استخراج مبلغ"), 0, IF('تست کور'!I63="قبولی مشروط (Conditional)", 15, 12))))</f>
        <v/>
      </c>
      <c r="F63" s="10">
        <f>IF(OR('تست کور'!I63="", 'تست کور'!I63="امتناع درست — قاعده‌اش در این فاز ساخته نشده"), "", IF('تست کور'!I63="قبولی کامل (Pass)", 15, IF('تست کور'!J63="عدم تشخیص سررسید یا طرف‌حساب", 0, IF('تست کور'!I63="قبولی مشروط (Conditional)", 11, 10))))</f>
        <v/>
      </c>
      <c r="G63" s="10">
        <f>IF(OR('تست کور'!I63="", 'تست کور'!I63="امتناع درست — قاعده‌اش در این فاز ساخته نشده"), "", IF('تست کور'!I63="قبولی کامل (Pass)", 15, IF(OR('تست کور'!J63="عدم طرح سؤال در سناریوی مبهم", 'تست کور'!J63="طرح سؤال تکمیلی غلط و توهم اطلاعات", 'تست کور'!I63="سؤال تکمیلی نامربوط/توهم", 'تست کور'!I63="سکوت اشتباه در ابهام"), 0, IF(OR('تست کور'!J63="از قلم افتادن بخش دوم در جمله مرکب", 'تست کور'!I63="عدم تفکیک رویدادها"), 3, IF('تست کور'!I63="قبولی مشروط (Conditional)", 11, 8)))))</f>
        <v/>
      </c>
      <c r="H63" s="10">
        <f>IF(C63="", "", C63+D63+E63+F63+G63)</f>
        <v/>
      </c>
      <c r="I63" s="12">
        <f>IF(H63="", "در انتظار آزمون", IF(H63&gt;=85, "قبولی ممتاز (Passed)", IF(H63&gt;=70, "قبولی متوسط (Acceptable)", IF(H63&gt;=50, "نیازمند بازآموزی (Retrain)", "مردود (Failed)"))))</f>
        <v/>
      </c>
      <c r="J63" s="12">
        <f>IF('تست کور'!I63="", "تست نشده", 'تست کور'!I63)</f>
        <v/>
      </c>
    </row>
    <row r="64">
      <c r="A64" s="12">
        <f>'تست کور'!A64</f>
        <v/>
      </c>
      <c r="B64" s="12">
        <f>'تست کور'!B64</f>
        <v/>
      </c>
      <c r="C64" s="10">
        <f>IF(OR('تست کور'!I64="", 'تست کور'!I64="امتناع درست — قاعده‌اش در این فاز ساخته نشده"), "", IF('تست کور'!I64="قبولی کامل (Pass)", 25, IF('تست کور'!J64="خطا در تشخیص ماهیت رویداد", 0, IF('تست کور'!I64="قبولی مشروط (Conditional)", 20, 15))))</f>
        <v/>
      </c>
      <c r="D64" s="10">
        <f>IF(OR('تست کور'!I64="", 'تست کور'!I64="امتناع درست — قاعده‌اش در این فاز ساخته نشده"), "", IF('تست کور'!I64="قبولی کامل (Pass)", 25, IF(OR('تست کور'!J64="جابجایی یا اشتباه بدهکار/بستانکار", 'تست کور'!I64="خطا در تشخیص سرفصل"), 0, IF('تست کور'!I64="قبولی مشروط (Conditional)", 18, 10))))</f>
        <v/>
      </c>
      <c r="E64" s="10">
        <f>IF(OR('تست کور'!I64="", 'تست کور'!I64="امتناع درست — قاعده‌اش در این فاز ساخته نشده"), "", IF('تست کور'!I64="قبولی کامل (Pass)", 20, IF(OR('تست کور'!J64="استخراج اشتباه مبلغ یا ارقام", 'تست کور'!I64="خطا در استخراج مبلغ"), 0, IF('تست کور'!I64="قبولی مشروط (Conditional)", 15, 12))))</f>
        <v/>
      </c>
      <c r="F64" s="10">
        <f>IF(OR('تست کور'!I64="", 'تست کور'!I64="امتناع درست — قاعده‌اش در این فاز ساخته نشده"), "", IF('تست کور'!I64="قبولی کامل (Pass)", 15, IF('تست کور'!J64="عدم تشخیص سررسید یا طرف‌حساب", 0, IF('تست کور'!I64="قبولی مشروط (Conditional)", 11, 10))))</f>
        <v/>
      </c>
      <c r="G64" s="10">
        <f>IF(OR('تست کور'!I64="", 'تست کور'!I64="امتناع درست — قاعده‌اش در این فاز ساخته نشده"), "", IF('تست کور'!I64="قبولی کامل (Pass)", 15, IF(OR('تست کور'!J64="عدم طرح سؤال در سناریوی مبهم", 'تست کور'!J64="طرح سؤال تکمیلی غلط و توهم اطلاعات", 'تست کور'!I64="سؤال تکمیلی نامربوط/توهم", 'تست کور'!I64="سکوت اشتباه در ابهام"), 0, IF(OR('تست کور'!J64="از قلم افتادن بخش دوم در جمله مرکب", 'تست کور'!I64="عدم تفکیک رویدادها"), 3, IF('تست کور'!I64="قبولی مشروط (Conditional)", 11, 8)))))</f>
        <v/>
      </c>
      <c r="H64" s="10">
        <f>IF(C64="", "", C64+D64+E64+F64+G64)</f>
        <v/>
      </c>
      <c r="I64" s="12">
        <f>IF(H64="", "در انتظار آزمون", IF(H64&gt;=85, "قبولی ممتاز (Passed)", IF(H64&gt;=70, "قبولی متوسط (Acceptable)", IF(H64&gt;=50, "نیازمند بازآموزی (Retrain)", "مردود (Failed)"))))</f>
        <v/>
      </c>
      <c r="J64" s="12">
        <f>IF('تست کور'!I64="", "تست نشده", 'تست کور'!I64)</f>
        <v/>
      </c>
    </row>
    <row r="65">
      <c r="A65" s="12">
        <f>'تست کور'!A65</f>
        <v/>
      </c>
      <c r="B65" s="12">
        <f>'تست کور'!B65</f>
        <v/>
      </c>
      <c r="C65" s="10">
        <f>IF(OR('تست کور'!I65="", 'تست کور'!I65="امتناع درست — قاعده‌اش در این فاز ساخته نشده"), "", IF('تست کور'!I65="قبولی کامل (Pass)", 25, IF('تست کور'!J65="خطا در تشخیص ماهیت رویداد", 0, IF('تست کور'!I65="قبولی مشروط (Conditional)", 20, 15))))</f>
        <v/>
      </c>
      <c r="D65" s="10">
        <f>IF(OR('تست کور'!I65="", 'تست کور'!I65="امتناع درست — قاعده‌اش در این فاز ساخته نشده"), "", IF('تست کور'!I65="قبولی کامل (Pass)", 25, IF(OR('تست کور'!J65="جابجایی یا اشتباه بدهکار/بستانکار", 'تست کور'!I65="خطا در تشخیص سرفصل"), 0, IF('تست کور'!I65="قبولی مشروط (Conditional)", 18, 10))))</f>
        <v/>
      </c>
      <c r="E65" s="10">
        <f>IF(OR('تست کور'!I65="", 'تست کور'!I65="امتناع درست — قاعده‌اش در این فاز ساخته نشده"), "", IF('تست کور'!I65="قبولی کامل (Pass)", 20, IF(OR('تست کور'!J65="استخراج اشتباه مبلغ یا ارقام", 'تست کور'!I65="خطا در استخراج مبلغ"), 0, IF('تست کور'!I65="قبولی مشروط (Conditional)", 15, 12))))</f>
        <v/>
      </c>
      <c r="F65" s="10">
        <f>IF(OR('تست کور'!I65="", 'تست کور'!I65="امتناع درست — قاعده‌اش در این فاز ساخته نشده"), "", IF('تست کور'!I65="قبولی کامل (Pass)", 15, IF('تست کور'!J65="عدم تشخیص سررسید یا طرف‌حساب", 0, IF('تست کور'!I65="قبولی مشروط (Conditional)", 11, 10))))</f>
        <v/>
      </c>
      <c r="G65" s="10">
        <f>IF(OR('تست کور'!I65="", 'تست کور'!I65="امتناع درست — قاعده‌اش در این فاز ساخته نشده"), "", IF('تست کور'!I65="قبولی کامل (Pass)", 15, IF(OR('تست کور'!J65="عدم طرح سؤال در سناریوی مبهم", 'تست کور'!J65="طرح سؤال تکمیلی غلط و توهم اطلاعات", 'تست کور'!I65="سؤال تکمیلی نامربوط/توهم", 'تست کور'!I65="سکوت اشتباه در ابهام"), 0, IF(OR('تست کور'!J65="از قلم افتادن بخش دوم در جمله مرکب", 'تست کور'!I65="عدم تفکیک رویدادها"), 3, IF('تست کور'!I65="قبولی مشروط (Conditional)", 11, 8)))))</f>
        <v/>
      </c>
      <c r="H65" s="10">
        <f>IF(C65="", "", C65+D65+E65+F65+G65)</f>
        <v/>
      </c>
      <c r="I65" s="12">
        <f>IF(H65="", "در انتظار آزمون", IF(H65&gt;=85, "قبولی ممتاز (Passed)", IF(H65&gt;=70, "قبولی متوسط (Acceptable)", IF(H65&gt;=50, "نیازمند بازآموزی (Retrain)", "مردود (Failed)"))))</f>
        <v/>
      </c>
      <c r="J65" s="12">
        <f>IF('تست کور'!I65="", "تست نشده", 'تست کور'!I65)</f>
        <v/>
      </c>
    </row>
    <row r="66">
      <c r="A66" s="12">
        <f>'تست کور'!A66</f>
        <v/>
      </c>
      <c r="B66" s="12">
        <f>'تست کور'!B66</f>
        <v/>
      </c>
      <c r="C66" s="10">
        <f>IF(OR('تست کور'!I66="", 'تست کور'!I66="امتناع درست — قاعده‌اش در این فاز ساخته نشده"), "", IF('تست کور'!I66="قبولی کامل (Pass)", 25, IF('تست کور'!J66="خطا در تشخیص ماهیت رویداد", 0, IF('تست کور'!I66="قبولی مشروط (Conditional)", 20, 15))))</f>
        <v/>
      </c>
      <c r="D66" s="10">
        <f>IF(OR('تست کور'!I66="", 'تست کور'!I66="امتناع درست — قاعده‌اش در این فاز ساخته نشده"), "", IF('تست کور'!I66="قبولی کامل (Pass)", 25, IF(OR('تست کور'!J66="جابجایی یا اشتباه بدهکار/بستانکار", 'تست کور'!I66="خطا در تشخیص سرفصل"), 0, IF('تست کور'!I66="قبولی مشروط (Conditional)", 18, 10))))</f>
        <v/>
      </c>
      <c r="E66" s="10">
        <f>IF(OR('تست کور'!I66="", 'تست کور'!I66="امتناع درست — قاعده‌اش در این فاز ساخته نشده"), "", IF('تست کور'!I66="قبولی کامل (Pass)", 20, IF(OR('تست کور'!J66="استخراج اشتباه مبلغ یا ارقام", 'تست کور'!I66="خطا در استخراج مبلغ"), 0, IF('تست کور'!I66="قبولی مشروط (Conditional)", 15, 12))))</f>
        <v/>
      </c>
      <c r="F66" s="10">
        <f>IF(OR('تست کور'!I66="", 'تست کور'!I66="امتناع درست — قاعده‌اش در این فاز ساخته نشده"), "", IF('تست کور'!I66="قبولی کامل (Pass)", 15, IF('تست کور'!J66="عدم تشخیص سررسید یا طرف‌حساب", 0, IF('تست کور'!I66="قبولی مشروط (Conditional)", 11, 10))))</f>
        <v/>
      </c>
      <c r="G66" s="10">
        <f>IF(OR('تست کور'!I66="", 'تست کور'!I66="امتناع درست — قاعده‌اش در این فاز ساخته نشده"), "", IF('تست کور'!I66="قبولی کامل (Pass)", 15, IF(OR('تست کور'!J66="عدم طرح سؤال در سناریوی مبهم", 'تست کور'!J66="طرح سؤال تکمیلی غلط و توهم اطلاعات", 'تست کور'!I66="سؤال تکمیلی نامربوط/توهم", 'تست کور'!I66="سکوت اشتباه در ابهام"), 0, IF(OR('تست کور'!J66="از قلم افتادن بخش دوم در جمله مرکب", 'تست کور'!I66="عدم تفکیک رویدادها"), 3, IF('تست کور'!I66="قبولی مشروط (Conditional)", 11, 8)))))</f>
        <v/>
      </c>
      <c r="H66" s="10">
        <f>IF(C66="", "", C66+D66+E66+F66+G66)</f>
        <v/>
      </c>
      <c r="I66" s="12">
        <f>IF(H66="", "در انتظار آزمون", IF(H66&gt;=85, "قبولی ممتاز (Passed)", IF(H66&gt;=70, "قبولی متوسط (Acceptable)", IF(H66&gt;=50, "نیازمند بازآموزی (Retrain)", "مردود (Failed)"))))</f>
        <v/>
      </c>
      <c r="J66" s="12">
        <f>IF('تست کور'!I66="", "تست نشده", 'تست کور'!I66)</f>
        <v/>
      </c>
    </row>
    <row r="67">
      <c r="A67" s="12">
        <f>'تست کور'!A67</f>
        <v/>
      </c>
      <c r="B67" s="12">
        <f>'تست کور'!B67</f>
        <v/>
      </c>
      <c r="C67" s="10">
        <f>IF(OR('تست کور'!I67="", 'تست کور'!I67="امتناع درست — قاعده‌اش در این فاز ساخته نشده"), "", IF('تست کور'!I67="قبولی کامل (Pass)", 25, IF('تست کور'!J67="خطا در تشخیص ماهیت رویداد", 0, IF('تست کور'!I67="قبولی مشروط (Conditional)", 20, 15))))</f>
        <v/>
      </c>
      <c r="D67" s="10">
        <f>IF(OR('تست کور'!I67="", 'تست کور'!I67="امتناع درست — قاعده‌اش در این فاز ساخته نشده"), "", IF('تست کور'!I67="قبولی کامل (Pass)", 25, IF(OR('تست کور'!J67="جابجایی یا اشتباه بدهکار/بستانکار", 'تست کور'!I67="خطا در تشخیص سرفصل"), 0, IF('تست کور'!I67="قبولی مشروط (Conditional)", 18, 10))))</f>
        <v/>
      </c>
      <c r="E67" s="10">
        <f>IF(OR('تست کور'!I67="", 'تست کور'!I67="امتناع درست — قاعده‌اش در این فاز ساخته نشده"), "", IF('تست کور'!I67="قبولی کامل (Pass)", 20, IF(OR('تست کور'!J67="استخراج اشتباه مبلغ یا ارقام", 'تست کور'!I67="خطا در استخراج مبلغ"), 0, IF('تست کور'!I67="قبولی مشروط (Conditional)", 15, 12))))</f>
        <v/>
      </c>
      <c r="F67" s="10">
        <f>IF(OR('تست کور'!I67="", 'تست کور'!I67="امتناع درست — قاعده‌اش در این فاز ساخته نشده"), "", IF('تست کور'!I67="قبولی کامل (Pass)", 15, IF('تست کور'!J67="عدم تشخیص سررسید یا طرف‌حساب", 0, IF('تست کور'!I67="قبولی مشروط (Conditional)", 11, 10))))</f>
        <v/>
      </c>
      <c r="G67" s="10">
        <f>IF(OR('تست کور'!I67="", 'تست کور'!I67="امتناع درست — قاعده‌اش در این فاز ساخته نشده"), "", IF('تست کور'!I67="قبولی کامل (Pass)", 15, IF(OR('تست کور'!J67="عدم طرح سؤال در سناریوی مبهم", 'تست کور'!J67="طرح سؤال تکمیلی غلط و توهم اطلاعات", 'تست کور'!I67="سؤال تکمیلی نامربوط/توهم", 'تست کور'!I67="سکوت اشتباه در ابهام"), 0, IF(OR('تست کور'!J67="از قلم افتادن بخش دوم در جمله مرکب", 'تست کور'!I67="عدم تفکیک رویدادها"), 3, IF('تست کور'!I67="قبولی مشروط (Conditional)", 11, 8)))))</f>
        <v/>
      </c>
      <c r="H67" s="10">
        <f>IF(C67="", "", C67+D67+E67+F67+G67)</f>
        <v/>
      </c>
      <c r="I67" s="12">
        <f>IF(H67="", "در انتظار آزمون", IF(H67&gt;=85, "قبولی ممتاز (Passed)", IF(H67&gt;=70, "قبولی متوسط (Acceptable)", IF(H67&gt;=50, "نیازمند بازآموزی (Retrain)", "مردود (Failed)"))))</f>
        <v/>
      </c>
      <c r="J67" s="12">
        <f>IF('تست کور'!I67="", "تست نشده", 'تست کور'!I67)</f>
        <v/>
      </c>
    </row>
    <row r="68">
      <c r="A68" s="12">
        <f>'تست کور'!A68</f>
        <v/>
      </c>
      <c r="B68" s="12">
        <f>'تست کور'!B68</f>
        <v/>
      </c>
      <c r="C68" s="10">
        <f>IF(OR('تست کور'!I68="", 'تست کور'!I68="امتناع درست — قاعده‌اش در این فاز ساخته نشده"), "", IF('تست کور'!I68="قبولی کامل (Pass)", 25, IF('تست کور'!J68="خطا در تشخیص ماهیت رویداد", 0, IF('تست کور'!I68="قبولی مشروط (Conditional)", 20, 15))))</f>
        <v/>
      </c>
      <c r="D68" s="10">
        <f>IF(OR('تست کور'!I68="", 'تست کور'!I68="امتناع درست — قاعده‌اش در این فاز ساخته نشده"), "", IF('تست کور'!I68="قبولی کامل (Pass)", 25, IF(OR('تست کور'!J68="جابجایی یا اشتباه بدهکار/بستانکار", 'تست کور'!I68="خطا در تشخیص سرفصل"), 0, IF('تست کور'!I68="قبولی مشروط (Conditional)", 18, 10))))</f>
        <v/>
      </c>
      <c r="E68" s="10">
        <f>IF(OR('تست کور'!I68="", 'تست کور'!I68="امتناع درست — قاعده‌اش در این فاز ساخته نشده"), "", IF('تست کور'!I68="قبولی کامل (Pass)", 20, IF(OR('تست کور'!J68="استخراج اشتباه مبلغ یا ارقام", 'تست کور'!I68="خطا در استخراج مبلغ"), 0, IF('تست کور'!I68="قبولی مشروط (Conditional)", 15, 12))))</f>
        <v/>
      </c>
      <c r="F68" s="10">
        <f>IF(OR('تست کور'!I68="", 'تست کور'!I68="امتناع درست — قاعده‌اش در این فاز ساخته نشده"), "", IF('تست کور'!I68="قبولی کامل (Pass)", 15, IF('تست کور'!J68="عدم تشخیص سررسید یا طرف‌حساب", 0, IF('تست کور'!I68="قبولی مشروط (Conditional)", 11, 10))))</f>
        <v/>
      </c>
      <c r="G68" s="10">
        <f>IF(OR('تست کور'!I68="", 'تست کور'!I68="امتناع درست — قاعده‌اش در این فاز ساخته نشده"), "", IF('تست کور'!I68="قبولی کامل (Pass)", 15, IF(OR('تست کور'!J68="عدم طرح سؤال در سناریوی مبهم", 'تست کور'!J68="طرح سؤال تکمیلی غلط و توهم اطلاعات", 'تست کور'!I68="سؤال تکمیلی نامربوط/توهم", 'تست کور'!I68="سکوت اشتباه در ابهام"), 0, IF(OR('تست کور'!J68="از قلم افتادن بخش دوم در جمله مرکب", 'تست کور'!I68="عدم تفکیک رویدادها"), 3, IF('تست کور'!I68="قبولی مشروط (Conditional)", 11, 8)))))</f>
        <v/>
      </c>
      <c r="H68" s="10">
        <f>IF(C68="", "", C68+D68+E68+F68+G68)</f>
        <v/>
      </c>
      <c r="I68" s="12">
        <f>IF(H68="", "در انتظار آزمون", IF(H68&gt;=85, "قبولی ممتاز (Passed)", IF(H68&gt;=70, "قبولی متوسط (Acceptable)", IF(H68&gt;=50, "نیازمند بازآموزی (Retrain)", "مردود (Failed)"))))</f>
        <v/>
      </c>
      <c r="J68" s="12">
        <f>IF('تست کور'!I68="", "تست نشده", 'تست کور'!I68)</f>
        <v/>
      </c>
    </row>
    <row r="69">
      <c r="A69" s="12">
        <f>'تست کور'!A69</f>
        <v/>
      </c>
      <c r="B69" s="12">
        <f>'تست کور'!B69</f>
        <v/>
      </c>
      <c r="C69" s="10">
        <f>IF(OR('تست کور'!I69="", 'تست کور'!I69="امتناع درست — قاعده‌اش در این فاز ساخته نشده"), "", IF('تست کور'!I69="قبولی کامل (Pass)", 25, IF('تست کور'!J69="خطا در تشخیص ماهیت رویداد", 0, IF('تست کور'!I69="قبولی مشروط (Conditional)", 20, 15))))</f>
        <v/>
      </c>
      <c r="D69" s="10">
        <f>IF(OR('تست کور'!I69="", 'تست کور'!I69="امتناع درست — قاعده‌اش در این فاز ساخته نشده"), "", IF('تست کور'!I69="قبولی کامل (Pass)", 25, IF(OR('تست کور'!J69="جابجایی یا اشتباه بدهکار/بستانکار", 'تست کور'!I69="خطا در تشخیص سرفصل"), 0, IF('تست کور'!I69="قبولی مشروط (Conditional)", 18, 10))))</f>
        <v/>
      </c>
      <c r="E69" s="10">
        <f>IF(OR('تست کور'!I69="", 'تست کور'!I69="امتناع درست — قاعده‌اش در این فاز ساخته نشده"), "", IF('تست کور'!I69="قبولی کامل (Pass)", 20, IF(OR('تست کور'!J69="استخراج اشتباه مبلغ یا ارقام", 'تست کور'!I69="خطا در استخراج مبلغ"), 0, IF('تست کور'!I69="قبولی مشروط (Conditional)", 15, 12))))</f>
        <v/>
      </c>
      <c r="F69" s="10">
        <f>IF(OR('تست کور'!I69="", 'تست کور'!I69="امتناع درست — قاعده‌اش در این فاز ساخته نشده"), "", IF('تست کور'!I69="قبولی کامل (Pass)", 15, IF('تست کور'!J69="عدم تشخیص سررسید یا طرف‌حساب", 0, IF('تست کور'!I69="قبولی مشروط (Conditional)", 11, 10))))</f>
        <v/>
      </c>
      <c r="G69" s="10">
        <f>IF(OR('تست کور'!I69="", 'تست کور'!I69="امتناع درست — قاعده‌اش در این فاز ساخته نشده"), "", IF('تست کور'!I69="قبولی کامل (Pass)", 15, IF(OR('تست کور'!J69="عدم طرح سؤال در سناریوی مبهم", 'تست کور'!J69="طرح سؤال تکمیلی غلط و توهم اطلاعات", 'تست کور'!I69="سؤال تکمیلی نامربوط/توهم", 'تست کور'!I69="سکوت اشتباه در ابهام"), 0, IF(OR('تست کور'!J69="از قلم افتادن بخش دوم در جمله مرکب", 'تست کور'!I69="عدم تفکیک رویدادها"), 3, IF('تست کور'!I69="قبولی مشروط (Conditional)", 11, 8)))))</f>
        <v/>
      </c>
      <c r="H69" s="10">
        <f>IF(C69="", "", C69+D69+E69+F69+G69)</f>
        <v/>
      </c>
      <c r="I69" s="12">
        <f>IF(H69="", "در انتظار آزمون", IF(H69&gt;=85, "قبولی ممتاز (Passed)", IF(H69&gt;=70, "قبولی متوسط (Acceptable)", IF(H69&gt;=50, "نیازمند بازآموزی (Retrain)", "مردود (Failed)"))))</f>
        <v/>
      </c>
      <c r="J69" s="12">
        <f>IF('تست کور'!I69="", "تست نشده", 'تست کور'!I69)</f>
        <v/>
      </c>
    </row>
    <row r="70">
      <c r="A70" s="12">
        <f>'تست کور'!A70</f>
        <v/>
      </c>
      <c r="B70" s="12">
        <f>'تست کور'!B70</f>
        <v/>
      </c>
      <c r="C70" s="10">
        <f>IF(OR('تست کور'!I70="", 'تست کور'!I70="امتناع درست — قاعده‌اش در این فاز ساخته نشده"), "", IF('تست کور'!I70="قبولی کامل (Pass)", 25, IF('تست کور'!J70="خطا در تشخیص ماهیت رویداد", 0, IF('تست کور'!I70="قبولی مشروط (Conditional)", 20, 15))))</f>
        <v/>
      </c>
      <c r="D70" s="10">
        <f>IF(OR('تست کور'!I70="", 'تست کور'!I70="امتناع درست — قاعده‌اش در این فاز ساخته نشده"), "", IF('تست کور'!I70="قبولی کامل (Pass)", 25, IF(OR('تست کور'!J70="جابجایی یا اشتباه بدهکار/بستانکار", 'تست کور'!I70="خطا در تشخیص سرفصل"), 0, IF('تست کور'!I70="قبولی مشروط (Conditional)", 18, 10))))</f>
        <v/>
      </c>
      <c r="E70" s="10">
        <f>IF(OR('تست کور'!I70="", 'تست کور'!I70="امتناع درست — قاعده‌اش در این فاز ساخته نشده"), "", IF('تست کور'!I70="قبولی کامل (Pass)", 20, IF(OR('تست کور'!J70="استخراج اشتباه مبلغ یا ارقام", 'تست کور'!I70="خطا در استخراج مبلغ"), 0, IF('تست کور'!I70="قبولی مشروط (Conditional)", 15, 12))))</f>
        <v/>
      </c>
      <c r="F70" s="10">
        <f>IF(OR('تست کور'!I70="", 'تست کور'!I70="امتناع درست — قاعده‌اش در این فاز ساخته نشده"), "", IF('تست کور'!I70="قبولی کامل (Pass)", 15, IF('تست کور'!J70="عدم تشخیص سررسید یا طرف‌حساب", 0, IF('تست کور'!I70="قبولی مشروط (Conditional)", 11, 10))))</f>
        <v/>
      </c>
      <c r="G70" s="10">
        <f>IF(OR('تست کور'!I70="", 'تست کور'!I70="امتناع درست — قاعده‌اش در این فاز ساخته نشده"), "", IF('تست کور'!I70="قبولی کامل (Pass)", 15, IF(OR('تست کور'!J70="عدم طرح سؤال در سناریوی مبهم", 'تست کور'!J70="طرح سؤال تکمیلی غلط و توهم اطلاعات", 'تست کور'!I70="سؤال تکمیلی نامربوط/توهم", 'تست کور'!I70="سکوت اشتباه در ابهام"), 0, IF(OR('تست کور'!J70="از قلم افتادن بخش دوم در جمله مرکب", 'تست کور'!I70="عدم تفکیک رویدادها"), 3, IF('تست کور'!I70="قبولی مشروط (Conditional)", 11, 8)))))</f>
        <v/>
      </c>
      <c r="H70" s="10">
        <f>IF(C70="", "", C70+D70+E70+F70+G70)</f>
        <v/>
      </c>
      <c r="I70" s="12">
        <f>IF(H70="", "در انتظار آزمون", IF(H70&gt;=85, "قبولی ممتاز (Passed)", IF(H70&gt;=70, "قبولی متوسط (Acceptable)", IF(H70&gt;=50, "نیازمند بازآموزی (Retrain)", "مردود (Failed)"))))</f>
        <v/>
      </c>
      <c r="J70" s="12">
        <f>IF('تست کور'!I70="", "تست نشده", 'تست کور'!I70)</f>
        <v/>
      </c>
    </row>
    <row r="71">
      <c r="A71" s="12">
        <f>'تست کور'!A71</f>
        <v/>
      </c>
      <c r="B71" s="12">
        <f>'تست کور'!B71</f>
        <v/>
      </c>
      <c r="C71" s="10">
        <f>IF(OR('تست کور'!I71="", 'تست کور'!I71="امتناع درست — قاعده‌اش در این فاز ساخته نشده"), "", IF('تست کور'!I71="قبولی کامل (Pass)", 25, IF('تست کور'!J71="خطا در تشخیص ماهیت رویداد", 0, IF('تست کور'!I71="قبولی مشروط (Conditional)", 20, 15))))</f>
        <v/>
      </c>
      <c r="D71" s="10">
        <f>IF(OR('تست کور'!I71="", 'تست کور'!I71="امتناع درست — قاعده‌اش در این فاز ساخته نشده"), "", IF('تست کور'!I71="قبولی کامل (Pass)", 25, IF(OR('تست کور'!J71="جابجایی یا اشتباه بدهکار/بستانکار", 'تست کور'!I71="خطا در تشخیص سرفصل"), 0, IF('تست کور'!I71="قبولی مشروط (Conditional)", 18, 10))))</f>
        <v/>
      </c>
      <c r="E71" s="10">
        <f>IF(OR('تست کور'!I71="", 'تست کور'!I71="امتناع درست — قاعده‌اش در این فاز ساخته نشده"), "", IF('تست کور'!I71="قبولی کامل (Pass)", 20, IF(OR('تست کور'!J71="استخراج اشتباه مبلغ یا ارقام", 'تست کور'!I71="خطا در استخراج مبلغ"), 0, IF('تست کور'!I71="قبولی مشروط (Conditional)", 15, 12))))</f>
        <v/>
      </c>
      <c r="F71" s="10">
        <f>IF(OR('تست کور'!I71="", 'تست کور'!I71="امتناع درست — قاعده‌اش در این فاز ساخته نشده"), "", IF('تست کور'!I71="قبولی کامل (Pass)", 15, IF('تست کور'!J71="عدم تشخیص سررسید یا طرف‌حساب", 0, IF('تست کور'!I71="قبولی مشروط (Conditional)", 11, 10))))</f>
        <v/>
      </c>
      <c r="G71" s="10">
        <f>IF(OR('تست کور'!I71="", 'تست کور'!I71="امتناع درست — قاعده‌اش در این فاز ساخته نشده"), "", IF('تست کور'!I71="قبولی کامل (Pass)", 15, IF(OR('تست کور'!J71="عدم طرح سؤال در سناریوی مبهم", 'تست کور'!J71="طرح سؤال تکمیلی غلط و توهم اطلاعات", 'تست کور'!I71="سؤال تکمیلی نامربوط/توهم", 'تست کور'!I71="سکوت اشتباه در ابهام"), 0, IF(OR('تست کور'!J71="از قلم افتادن بخش دوم در جمله مرکب", 'تست کور'!I71="عدم تفکیک رویدادها"), 3, IF('تست کور'!I71="قبولی مشروط (Conditional)", 11, 8)))))</f>
        <v/>
      </c>
      <c r="H71" s="10">
        <f>IF(C71="", "", C71+D71+E71+F71+G71)</f>
        <v/>
      </c>
      <c r="I71" s="12">
        <f>IF(H71="", "در انتظار آزمون", IF(H71&gt;=85, "قبولی ممتاز (Passed)", IF(H71&gt;=70, "قبولی متوسط (Acceptable)", IF(H71&gt;=50, "نیازمند بازآموزی (Retrain)", "مردود (Failed)"))))</f>
        <v/>
      </c>
      <c r="J71" s="12">
        <f>IF('تست کور'!I71="", "تست نشده", 'تست کور'!I71)</f>
        <v/>
      </c>
    </row>
    <row r="72">
      <c r="A72" s="12">
        <f>'تست کور'!A72</f>
        <v/>
      </c>
      <c r="B72" s="12">
        <f>'تست کور'!B72</f>
        <v/>
      </c>
      <c r="C72" s="10">
        <f>IF(OR('تست کور'!I72="", 'تست کور'!I72="امتناع درست — قاعده‌اش در این فاز ساخته نشده"), "", IF('تست کور'!I72="قبولی کامل (Pass)", 25, IF('تست کور'!J72="خطا در تشخیص ماهیت رویداد", 0, IF('تست کور'!I72="قبولی مشروط (Conditional)", 20, 15))))</f>
        <v/>
      </c>
      <c r="D72" s="10">
        <f>IF(OR('تست کور'!I72="", 'تست کور'!I72="امتناع درست — قاعده‌اش در این فاز ساخته نشده"), "", IF('تست کور'!I72="قبولی کامل (Pass)", 25, IF(OR('تست کور'!J72="جابجایی یا اشتباه بدهکار/بستانکار", 'تست کور'!I72="خطا در تشخیص سرفصل"), 0, IF('تست کور'!I72="قبولی مشروط (Conditional)", 18, 10))))</f>
        <v/>
      </c>
      <c r="E72" s="10">
        <f>IF(OR('تست کور'!I72="", 'تست کور'!I72="امتناع درست — قاعده‌اش در این فاز ساخته نشده"), "", IF('تست کور'!I72="قبولی کامل (Pass)", 20, IF(OR('تست کور'!J72="استخراج اشتباه مبلغ یا ارقام", 'تست کور'!I72="خطا در استخراج مبلغ"), 0, IF('تست کور'!I72="قبولی مشروط (Conditional)", 15, 12))))</f>
        <v/>
      </c>
      <c r="F72" s="10">
        <f>IF(OR('تست کور'!I72="", 'تست کور'!I72="امتناع درست — قاعده‌اش در این فاز ساخته نشده"), "", IF('تست کور'!I72="قبولی کامل (Pass)", 15, IF('تست کور'!J72="عدم تشخیص سررسید یا طرف‌حساب", 0, IF('تست کور'!I72="قبولی مشروط (Conditional)", 11, 10))))</f>
        <v/>
      </c>
      <c r="G72" s="10">
        <f>IF(OR('تست کور'!I72="", 'تست کور'!I72="امتناع درست — قاعده‌اش در این فاز ساخته نشده"), "", IF('تست کور'!I72="قبولی کامل (Pass)", 15, IF(OR('تست کور'!J72="عدم طرح سؤال در سناریوی مبهم", 'تست کور'!J72="طرح سؤال تکمیلی غلط و توهم اطلاعات", 'تست کور'!I72="سؤال تکمیلی نامربوط/توهم", 'تست کور'!I72="سکوت اشتباه در ابهام"), 0, IF(OR('تست کور'!J72="از قلم افتادن بخش دوم در جمله مرکب", 'تست کور'!I72="عدم تفکیک رویدادها"), 3, IF('تست کور'!I72="قبولی مشروط (Conditional)", 11, 8)))))</f>
        <v/>
      </c>
      <c r="H72" s="10">
        <f>IF(C72="", "", C72+D72+E72+F72+G72)</f>
        <v/>
      </c>
      <c r="I72" s="12">
        <f>IF(H72="", "در انتظار آزمون", IF(H72&gt;=85, "قبولی ممتاز (Passed)", IF(H72&gt;=70, "قبولی متوسط (Acceptable)", IF(H72&gt;=50, "نیازمند بازآموزی (Retrain)", "مردود (Failed)"))))</f>
        <v/>
      </c>
      <c r="J72" s="12">
        <f>IF('تست کور'!I72="", "تست نشده", 'تست کور'!I72)</f>
        <v/>
      </c>
    </row>
    <row r="73">
      <c r="A73" s="12">
        <f>'تست کور'!A73</f>
        <v/>
      </c>
      <c r="B73" s="12">
        <f>'تست کور'!B73</f>
        <v/>
      </c>
      <c r="C73" s="10">
        <f>IF(OR('تست کور'!I73="", 'تست کور'!I73="امتناع درست — قاعده‌اش در این فاز ساخته نشده"), "", IF('تست کور'!I73="قبولی کامل (Pass)", 25, IF('تست کور'!J73="خطا در تشخیص ماهیت رویداد", 0, IF('تست کور'!I73="قبولی مشروط (Conditional)", 20, 15))))</f>
        <v/>
      </c>
      <c r="D73" s="10">
        <f>IF(OR('تست کور'!I73="", 'تست کور'!I73="امتناع درست — قاعده‌اش در این فاز ساخته نشده"), "", IF('تست کور'!I73="قبولی کامل (Pass)", 25, IF(OR('تست کور'!J73="جابجایی یا اشتباه بدهکار/بستانکار", 'تست کور'!I73="خطا در تشخیص سرفصل"), 0, IF('تست کور'!I73="قبولی مشروط (Conditional)", 18, 10))))</f>
        <v/>
      </c>
      <c r="E73" s="10">
        <f>IF(OR('تست کور'!I73="", 'تست کور'!I73="امتناع درست — قاعده‌اش در این فاز ساخته نشده"), "", IF('تست کور'!I73="قبولی کامل (Pass)", 20, IF(OR('تست کور'!J73="استخراج اشتباه مبلغ یا ارقام", 'تست کور'!I73="خطا در استخراج مبلغ"), 0, IF('تست کور'!I73="قبولی مشروط (Conditional)", 15, 12))))</f>
        <v/>
      </c>
      <c r="F73" s="10">
        <f>IF(OR('تست کور'!I73="", 'تست کور'!I73="امتناع درست — قاعده‌اش در این فاز ساخته نشده"), "", IF('تست کور'!I73="قبولی کامل (Pass)", 15, IF('تست کور'!J73="عدم تشخیص سررسید یا طرف‌حساب", 0, IF('تست کور'!I73="قبولی مشروط (Conditional)", 11, 10))))</f>
        <v/>
      </c>
      <c r="G73" s="10">
        <f>IF(OR('تست کور'!I73="", 'تست کور'!I73="امتناع درست — قاعده‌اش در این فاز ساخته نشده"), "", IF('تست کور'!I73="قبولی کامل (Pass)", 15, IF(OR('تست کور'!J73="عدم طرح سؤال در سناریوی مبهم", 'تست کور'!J73="طرح سؤال تکمیلی غلط و توهم اطلاعات", 'تست کور'!I73="سؤال تکمیلی نامربوط/توهم", 'تست کور'!I73="سکوت اشتباه در ابهام"), 0, IF(OR('تست کور'!J73="از قلم افتادن بخش دوم در جمله مرکب", 'تست کور'!I73="عدم تفکیک رویدادها"), 3, IF('تست کور'!I73="قبولی مشروط (Conditional)", 11, 8)))))</f>
        <v/>
      </c>
      <c r="H73" s="10">
        <f>IF(C73="", "", C73+D73+E73+F73+G73)</f>
        <v/>
      </c>
      <c r="I73" s="12">
        <f>IF(H73="", "در انتظار آزمون", IF(H73&gt;=85, "قبولی ممتاز (Passed)", IF(H73&gt;=70, "قبولی متوسط (Acceptable)", IF(H73&gt;=50, "نیازمند بازآموزی (Retrain)", "مردود (Failed)"))))</f>
        <v/>
      </c>
      <c r="J73" s="12">
        <f>IF('تست کور'!I73="", "تست نشده", 'تست کور'!I73)</f>
        <v/>
      </c>
    </row>
    <row r="74">
      <c r="A74" s="12">
        <f>'تست کور'!A74</f>
        <v/>
      </c>
      <c r="B74" s="12">
        <f>'تست کور'!B74</f>
        <v/>
      </c>
      <c r="C74" s="10">
        <f>IF(OR('تست کور'!I74="", 'تست کور'!I74="امتناع درست — قاعده‌اش در این فاز ساخته نشده"), "", IF('تست کور'!I74="قبولی کامل (Pass)", 25, IF('تست کور'!J74="خطا در تشخیص ماهیت رویداد", 0, IF('تست کور'!I74="قبولی مشروط (Conditional)", 20, 15))))</f>
        <v/>
      </c>
      <c r="D74" s="10">
        <f>IF(OR('تست کور'!I74="", 'تست کور'!I74="امتناع درست — قاعده‌اش در این فاز ساخته نشده"), "", IF('تست کور'!I74="قبولی کامل (Pass)", 25, IF(OR('تست کور'!J74="جابجایی یا اشتباه بدهکار/بستانکار", 'تست کور'!I74="خطا در تشخیص سرفصل"), 0, IF('تست کور'!I74="قبولی مشروط (Conditional)", 18, 10))))</f>
        <v/>
      </c>
      <c r="E74" s="10">
        <f>IF(OR('تست کور'!I74="", 'تست کور'!I74="امتناع درست — قاعده‌اش در این فاز ساخته نشده"), "", IF('تست کور'!I74="قبولی کامل (Pass)", 20, IF(OR('تست کور'!J74="استخراج اشتباه مبلغ یا ارقام", 'تست کور'!I74="خطا در استخراج مبلغ"), 0, IF('تست کور'!I74="قبولی مشروط (Conditional)", 15, 12))))</f>
        <v/>
      </c>
      <c r="F74" s="10">
        <f>IF(OR('تست کور'!I74="", 'تست کور'!I74="امتناع درست — قاعده‌اش در این فاز ساخته نشده"), "", IF('تست کور'!I74="قبولی کامل (Pass)", 15, IF('تست کور'!J74="عدم تشخیص سررسید یا طرف‌حساب", 0, IF('تست کور'!I74="قبولی مشروط (Conditional)", 11, 10))))</f>
        <v/>
      </c>
      <c r="G74" s="10">
        <f>IF(OR('تست کور'!I74="", 'تست کور'!I74="امتناع درست — قاعده‌اش در این فاز ساخته نشده"), "", IF('تست کور'!I74="قبولی کامل (Pass)", 15, IF(OR('تست کور'!J74="عدم طرح سؤال در سناریوی مبهم", 'تست کور'!J74="طرح سؤال تکمیلی غلط و توهم اطلاعات", 'تست کور'!I74="سؤال تکمیلی نامربوط/توهم", 'تست کور'!I74="سکوت اشتباه در ابهام"), 0, IF(OR('تست کور'!J74="از قلم افتادن بخش دوم در جمله مرکب", 'تست کور'!I74="عدم تفکیک رویدادها"), 3, IF('تست کور'!I74="قبولی مشروط (Conditional)", 11, 8)))))</f>
        <v/>
      </c>
      <c r="H74" s="10">
        <f>IF(C74="", "", C74+D74+E74+F74+G74)</f>
        <v/>
      </c>
      <c r="I74" s="12">
        <f>IF(H74="", "در انتظار آزمون", IF(H74&gt;=85, "قبولی ممتاز (Passed)", IF(H74&gt;=70, "قبولی متوسط (Acceptable)", IF(H74&gt;=50, "نیازمند بازآموزی (Retrain)", "مردود (Failed)"))))</f>
        <v/>
      </c>
      <c r="J74" s="12">
        <f>IF('تست کور'!I74="", "تست نشده", 'تست کور'!I74)</f>
        <v/>
      </c>
    </row>
    <row r="75">
      <c r="A75" s="12">
        <f>'تست کور'!A75</f>
        <v/>
      </c>
      <c r="B75" s="12">
        <f>'تست کور'!B75</f>
        <v/>
      </c>
      <c r="C75" s="10">
        <f>IF(OR('تست کور'!I75="", 'تست کور'!I75="امتناع درست — قاعده‌اش در این فاز ساخته نشده"), "", IF('تست کور'!I75="قبولی کامل (Pass)", 25, IF('تست کور'!J75="خطا در تشخیص ماهیت رویداد", 0, IF('تست کور'!I75="قبولی مشروط (Conditional)", 20, 15))))</f>
        <v/>
      </c>
      <c r="D75" s="10">
        <f>IF(OR('تست کور'!I75="", 'تست کور'!I75="امتناع درست — قاعده‌اش در این فاز ساخته نشده"), "", IF('تست کور'!I75="قبولی کامل (Pass)", 25, IF(OR('تست کور'!J75="جابجایی یا اشتباه بدهکار/بستانکار", 'تست کور'!I75="خطا در تشخیص سرفصل"), 0, IF('تست کور'!I75="قبولی مشروط (Conditional)", 18, 10))))</f>
        <v/>
      </c>
      <c r="E75" s="10">
        <f>IF(OR('تست کور'!I75="", 'تست کور'!I75="امتناع درست — قاعده‌اش در این فاز ساخته نشده"), "", IF('تست کور'!I75="قبولی کامل (Pass)", 20, IF(OR('تست کور'!J75="استخراج اشتباه مبلغ یا ارقام", 'تست کور'!I75="خطا در استخراج مبلغ"), 0, IF('تست کور'!I75="قبولی مشروط (Conditional)", 15, 12))))</f>
        <v/>
      </c>
      <c r="F75" s="10">
        <f>IF(OR('تست کور'!I75="", 'تست کور'!I75="امتناع درست — قاعده‌اش در این فاز ساخته نشده"), "", IF('تست کور'!I75="قبولی کامل (Pass)", 15, IF('تست کور'!J75="عدم تشخیص سررسید یا طرف‌حساب", 0, IF('تست کور'!I75="قبولی مشروط (Conditional)", 11, 10))))</f>
        <v/>
      </c>
      <c r="G75" s="10">
        <f>IF(OR('تست کور'!I75="", 'تست کور'!I75="امتناع درست — قاعده‌اش در این فاز ساخته نشده"), "", IF('تست کور'!I75="قبولی کامل (Pass)", 15, IF(OR('تست کور'!J75="عدم طرح سؤال در سناریوی مبهم", 'تست کور'!J75="طرح سؤال تکمیلی غلط و توهم اطلاعات", 'تست کور'!I75="سؤال تکمیلی نامربوط/توهم", 'تست کور'!I75="سکوت اشتباه در ابهام"), 0, IF(OR('تست کور'!J75="از قلم افتادن بخش دوم در جمله مرکب", 'تست کور'!I75="عدم تفکیک رویدادها"), 3, IF('تست کور'!I75="قبولی مشروط (Conditional)", 11, 8)))))</f>
        <v/>
      </c>
      <c r="H75" s="10">
        <f>IF(C75="", "", C75+D75+E75+F75+G75)</f>
        <v/>
      </c>
      <c r="I75" s="12">
        <f>IF(H75="", "در انتظار آزمون", IF(H75&gt;=85, "قبولی ممتاز (Passed)", IF(H75&gt;=70, "قبولی متوسط (Acceptable)", IF(H75&gt;=50, "نیازمند بازآموزی (Retrain)", "مردود (Failed)"))))</f>
        <v/>
      </c>
      <c r="J75" s="12">
        <f>IF('تست کور'!I75="", "تست نشده", 'تست کور'!I75)</f>
        <v/>
      </c>
    </row>
    <row r="76">
      <c r="A76" s="12">
        <f>'تست کور'!A76</f>
        <v/>
      </c>
      <c r="B76" s="12">
        <f>'تست کور'!B76</f>
        <v/>
      </c>
      <c r="C76" s="10">
        <f>IF(OR('تست کور'!I76="", 'تست کور'!I76="امتناع درست — قاعده‌اش در این فاز ساخته نشده"), "", IF('تست کور'!I76="قبولی کامل (Pass)", 25, IF('تست کور'!J76="خطا در تشخیص ماهیت رویداد", 0, IF('تست کور'!I76="قبولی مشروط (Conditional)", 20, 15))))</f>
        <v/>
      </c>
      <c r="D76" s="10">
        <f>IF(OR('تست کور'!I76="", 'تست کور'!I76="امتناع درست — قاعده‌اش در این فاز ساخته نشده"), "", IF('تست کور'!I76="قبولی کامل (Pass)", 25, IF(OR('تست کور'!J76="جابجایی یا اشتباه بدهکار/بستانکار", 'تست کور'!I76="خطا در تشخیص سرفصل"), 0, IF('تست کور'!I76="قبولی مشروط (Conditional)", 18, 10))))</f>
        <v/>
      </c>
      <c r="E76" s="10">
        <f>IF(OR('تست کور'!I76="", 'تست کور'!I76="امتناع درست — قاعده‌اش در این فاز ساخته نشده"), "", IF('تست کور'!I76="قبولی کامل (Pass)", 20, IF(OR('تست کور'!J76="استخراج اشتباه مبلغ یا ارقام", 'تست کور'!I76="خطا در استخراج مبلغ"), 0, IF('تست کور'!I76="قبولی مشروط (Conditional)", 15, 12))))</f>
        <v/>
      </c>
      <c r="F76" s="10">
        <f>IF(OR('تست کور'!I76="", 'تست کور'!I76="امتناع درست — قاعده‌اش در این فاز ساخته نشده"), "", IF('تست کور'!I76="قبولی کامل (Pass)", 15, IF('تست کور'!J76="عدم تشخیص سررسید یا طرف‌حساب", 0, IF('تست کور'!I76="قبولی مشروط (Conditional)", 11, 10))))</f>
        <v/>
      </c>
      <c r="G76" s="10">
        <f>IF(OR('تست کور'!I76="", 'تست کور'!I76="امتناع درست — قاعده‌اش در این فاز ساخته نشده"), "", IF('تست کور'!I76="قبولی کامل (Pass)", 15, IF(OR('تست کور'!J76="عدم طرح سؤال در سناریوی مبهم", 'تست کور'!J76="طرح سؤال تکمیلی غلط و توهم اطلاعات", 'تست کور'!I76="سؤال تکمیلی نامربوط/توهم", 'تست کور'!I76="سکوت اشتباه در ابهام"), 0, IF(OR('تست کور'!J76="از قلم افتادن بخش دوم در جمله مرکب", 'تست کور'!I76="عدم تفکیک رویدادها"), 3, IF('تست کور'!I76="قبولی مشروط (Conditional)", 11, 8)))))</f>
        <v/>
      </c>
      <c r="H76" s="10">
        <f>IF(C76="", "", C76+D76+E76+F76+G76)</f>
        <v/>
      </c>
      <c r="I76" s="12">
        <f>IF(H76="", "در انتظار آزمون", IF(H76&gt;=85, "قبولی ممتاز (Passed)", IF(H76&gt;=70, "قبولی متوسط (Acceptable)", IF(H76&gt;=50, "نیازمند بازآموزی (Retrain)", "مردود (Failed)"))))</f>
        <v/>
      </c>
      <c r="J76" s="12">
        <f>IF('تست کور'!I76="", "تست نشده", 'تست کور'!I76)</f>
        <v/>
      </c>
    </row>
    <row r="77">
      <c r="A77" s="12">
        <f>'تست کور'!A77</f>
        <v/>
      </c>
      <c r="B77" s="12">
        <f>'تست کور'!B77</f>
        <v/>
      </c>
      <c r="C77" s="10">
        <f>IF(OR('تست کور'!I77="", 'تست کور'!I77="امتناع درست — قاعده‌اش در این فاز ساخته نشده"), "", IF('تست کور'!I77="قبولی کامل (Pass)", 25, IF('تست کور'!J77="خطا در تشخیص ماهیت رویداد", 0, IF('تست کور'!I77="قبولی مشروط (Conditional)", 20, 15))))</f>
        <v/>
      </c>
      <c r="D77" s="10">
        <f>IF(OR('تست کور'!I77="", 'تست کور'!I77="امتناع درست — قاعده‌اش در این فاز ساخته نشده"), "", IF('تست کور'!I77="قبولی کامل (Pass)", 25, IF(OR('تست کور'!J77="جابجایی یا اشتباه بدهکار/بستانکار", 'تست کور'!I77="خطا در تشخیص سرفصل"), 0, IF('تست کور'!I77="قبولی مشروط (Conditional)", 18, 10))))</f>
        <v/>
      </c>
      <c r="E77" s="10">
        <f>IF(OR('تست کور'!I77="", 'تست کور'!I77="امتناع درست — قاعده‌اش در این فاز ساخته نشده"), "", IF('تست کور'!I77="قبولی کامل (Pass)", 20, IF(OR('تست کور'!J77="استخراج اشتباه مبلغ یا ارقام", 'تست کور'!I77="خطا در استخراج مبلغ"), 0, IF('تست کور'!I77="قبولی مشروط (Conditional)", 15, 12))))</f>
        <v/>
      </c>
      <c r="F77" s="10">
        <f>IF(OR('تست کور'!I77="", 'تست کور'!I77="امتناع درست — قاعده‌اش در این فاز ساخته نشده"), "", IF('تست کور'!I77="قبولی کامل (Pass)", 15, IF('تست کور'!J77="عدم تشخیص سررسید یا طرف‌حساب", 0, IF('تست کور'!I77="قبولی مشروط (Conditional)", 11, 10))))</f>
        <v/>
      </c>
      <c r="G77" s="10">
        <f>IF(OR('تست کور'!I77="", 'تست کور'!I77="امتناع درست — قاعده‌اش در این فاز ساخته نشده"), "", IF('تست کور'!I77="قبولی کامل (Pass)", 15, IF(OR('تست کور'!J77="عدم طرح سؤال در سناریوی مبهم", 'تست کور'!J77="طرح سؤال تکمیلی غلط و توهم اطلاعات", 'تست کور'!I77="سؤال تکمیلی نامربوط/توهم", 'تست کور'!I77="سکوت اشتباه در ابهام"), 0, IF(OR('تست کور'!J77="از قلم افتادن بخش دوم در جمله مرکب", 'تست کور'!I77="عدم تفکیک رویدادها"), 3, IF('تست کور'!I77="قبولی مشروط (Conditional)", 11, 8)))))</f>
        <v/>
      </c>
      <c r="H77" s="10">
        <f>IF(C77="", "", C77+D77+E77+F77+G77)</f>
        <v/>
      </c>
      <c r="I77" s="12">
        <f>IF(H77="", "در انتظار آزمون", IF(H77&gt;=85, "قبولی ممتاز (Passed)", IF(H77&gt;=70, "قبولی متوسط (Acceptable)", IF(H77&gt;=50, "نیازمند بازآموزی (Retrain)", "مردود (Failed)"))))</f>
        <v/>
      </c>
      <c r="J77" s="12">
        <f>IF('تست کور'!I77="", "تست نشده", 'تست کور'!I77)</f>
        <v/>
      </c>
    </row>
    <row r="78">
      <c r="A78" s="12">
        <f>'تست کور'!A78</f>
        <v/>
      </c>
      <c r="B78" s="12">
        <f>'تست کور'!B78</f>
        <v/>
      </c>
      <c r="C78" s="10">
        <f>IF(OR('تست کور'!I78="", 'تست کور'!I78="امتناع درست — قاعده‌اش در این فاز ساخته نشده"), "", IF('تست کور'!I78="قبولی کامل (Pass)", 25, IF('تست کور'!J78="خطا در تشخیص ماهیت رویداد", 0, IF('تست کور'!I78="قبولی مشروط (Conditional)", 20, 15))))</f>
        <v/>
      </c>
      <c r="D78" s="10">
        <f>IF(OR('تست کور'!I78="", 'تست کور'!I78="امتناع درست — قاعده‌اش در این فاز ساخته نشده"), "", IF('تست کور'!I78="قبولی کامل (Pass)", 25, IF(OR('تست کور'!J78="جابجایی یا اشتباه بدهکار/بستانکار", 'تست کور'!I78="خطا در تشخیص سرفصل"), 0, IF('تست کور'!I78="قبولی مشروط (Conditional)", 18, 10))))</f>
        <v/>
      </c>
      <c r="E78" s="10">
        <f>IF(OR('تست کور'!I78="", 'تست کور'!I78="امتناع درست — قاعده‌اش در این فاز ساخته نشده"), "", IF('تست کور'!I78="قبولی کامل (Pass)", 20, IF(OR('تست کور'!J78="استخراج اشتباه مبلغ یا ارقام", 'تست کور'!I78="خطا در استخراج مبلغ"), 0, IF('تست کور'!I78="قبولی مشروط (Conditional)", 15, 12))))</f>
        <v/>
      </c>
      <c r="F78" s="10">
        <f>IF(OR('تست کور'!I78="", 'تست کور'!I78="امتناع درست — قاعده‌اش در این فاز ساخته نشده"), "", IF('تست کور'!I78="قبولی کامل (Pass)", 15, IF('تست کور'!J78="عدم تشخیص سررسید یا طرف‌حساب", 0, IF('تست کور'!I78="قبولی مشروط (Conditional)", 11, 10))))</f>
        <v/>
      </c>
      <c r="G78" s="10">
        <f>IF(OR('تست کور'!I78="", 'تست کور'!I78="امتناع درست — قاعده‌اش در این فاز ساخته نشده"), "", IF('تست کور'!I78="قبولی کامل (Pass)", 15, IF(OR('تست کور'!J78="عدم طرح سؤال در سناریوی مبهم", 'تست کور'!J78="طرح سؤال تکمیلی غلط و توهم اطلاعات", 'تست کور'!I78="سؤال تکمیلی نامربوط/توهم", 'تست کور'!I78="سکوت اشتباه در ابهام"), 0, IF(OR('تست کور'!J78="از قلم افتادن بخش دوم در جمله مرکب", 'تست کور'!I78="عدم تفکیک رویدادها"), 3, IF('تست کور'!I78="قبولی مشروط (Conditional)", 11, 8)))))</f>
        <v/>
      </c>
      <c r="H78" s="10">
        <f>IF(C78="", "", C78+D78+E78+F78+G78)</f>
        <v/>
      </c>
      <c r="I78" s="12">
        <f>IF(H78="", "در انتظار آزمون", IF(H78&gt;=85, "قبولی ممتاز (Passed)", IF(H78&gt;=70, "قبولی متوسط (Acceptable)", IF(H78&gt;=50, "نیازمند بازآموزی (Retrain)", "مردود (Failed)"))))</f>
        <v/>
      </c>
      <c r="J78" s="12">
        <f>IF('تست کور'!I78="", "تست نشده", 'تست کور'!I78)</f>
        <v/>
      </c>
    </row>
    <row r="79">
      <c r="A79" s="12">
        <f>'تست کور'!A79</f>
        <v/>
      </c>
      <c r="B79" s="12">
        <f>'تست کور'!B79</f>
        <v/>
      </c>
      <c r="C79" s="10">
        <f>IF(OR('تست کور'!I79="", 'تست کور'!I79="امتناع درست — قاعده‌اش در این فاز ساخته نشده"), "", IF('تست کور'!I79="قبولی کامل (Pass)", 25, IF('تست کور'!J79="خطا در تشخیص ماهیت رویداد", 0, IF('تست کور'!I79="قبولی مشروط (Conditional)", 20, 15))))</f>
        <v/>
      </c>
      <c r="D79" s="10">
        <f>IF(OR('تست کور'!I79="", 'تست کور'!I79="امتناع درست — قاعده‌اش در این فاز ساخته نشده"), "", IF('تست کور'!I79="قبولی کامل (Pass)", 25, IF(OR('تست کور'!J79="جابجایی یا اشتباه بدهکار/بستانکار", 'تست کور'!I79="خطا در تشخیص سرفصل"), 0, IF('تست کور'!I79="قبولی مشروط (Conditional)", 18, 10))))</f>
        <v/>
      </c>
      <c r="E79" s="10">
        <f>IF(OR('تست کور'!I79="", 'تست کور'!I79="امتناع درست — قاعده‌اش در این فاز ساخته نشده"), "", IF('تست کور'!I79="قبولی کامل (Pass)", 20, IF(OR('تست کور'!J79="استخراج اشتباه مبلغ یا ارقام", 'تست کور'!I79="خطا در استخراج مبلغ"), 0, IF('تست کور'!I79="قبولی مشروط (Conditional)", 15, 12))))</f>
        <v/>
      </c>
      <c r="F79" s="10">
        <f>IF(OR('تست کور'!I79="", 'تست کور'!I79="امتناع درست — قاعده‌اش در این فاز ساخته نشده"), "", IF('تست کور'!I79="قبولی کامل (Pass)", 15, IF('تست کور'!J79="عدم تشخیص سررسید یا طرف‌حساب", 0, IF('تست کور'!I79="قبولی مشروط (Conditional)", 11, 10))))</f>
        <v/>
      </c>
      <c r="G79" s="10">
        <f>IF(OR('تست کور'!I79="", 'تست کور'!I79="امتناع درست — قاعده‌اش در این فاز ساخته نشده"), "", IF('تست کور'!I79="قبولی کامل (Pass)", 15, IF(OR('تست کور'!J79="عدم طرح سؤال در سناریوی مبهم", 'تست کور'!J79="طرح سؤال تکمیلی غلط و توهم اطلاعات", 'تست کور'!I79="سؤال تکمیلی نامربوط/توهم", 'تست کور'!I79="سکوت اشتباه در ابهام"), 0, IF(OR('تست کور'!J79="از قلم افتادن بخش دوم در جمله مرکب", 'تست کور'!I79="عدم تفکیک رویدادها"), 3, IF('تست کور'!I79="قبولی مشروط (Conditional)", 11, 8)))))</f>
        <v/>
      </c>
      <c r="H79" s="10">
        <f>IF(C79="", "", C79+D79+E79+F79+G79)</f>
        <v/>
      </c>
      <c r="I79" s="12">
        <f>IF(H79="", "در انتظار آزمون", IF(H79&gt;=85, "قبولی ممتاز (Passed)", IF(H79&gt;=70, "قبولی متوسط (Acceptable)", IF(H79&gt;=50, "نیازمند بازآموزی (Retrain)", "مردود (Failed)"))))</f>
        <v/>
      </c>
      <c r="J79" s="12">
        <f>IF('تست کور'!I79="", "تست نشده", 'تست کور'!I79)</f>
        <v/>
      </c>
    </row>
    <row r="80">
      <c r="A80" s="12">
        <f>'تست کور'!A80</f>
        <v/>
      </c>
      <c r="B80" s="12">
        <f>'تست کور'!B80</f>
        <v/>
      </c>
      <c r="C80" s="10">
        <f>IF(OR('تست کور'!I80="", 'تست کور'!I80="امتناع درست — قاعده‌اش در این فاز ساخته نشده"), "", IF('تست کور'!I80="قبولی کامل (Pass)", 25, IF('تست کور'!J80="خطا در تشخیص ماهیت رویداد", 0, IF('تست کور'!I80="قبولی مشروط (Conditional)", 20, 15))))</f>
        <v/>
      </c>
      <c r="D80" s="10">
        <f>IF(OR('تست کور'!I80="", 'تست کور'!I80="امتناع درست — قاعده‌اش در این فاز ساخته نشده"), "", IF('تست کور'!I80="قبولی کامل (Pass)", 25, IF(OR('تست کور'!J80="جابجایی یا اشتباه بدهکار/بستانکار", 'تست کور'!I80="خطا در تشخیص سرفصل"), 0, IF('تست کور'!I80="قبولی مشروط (Conditional)", 18, 10))))</f>
        <v/>
      </c>
      <c r="E80" s="10">
        <f>IF(OR('تست کور'!I80="", 'تست کور'!I80="امتناع درست — قاعده‌اش در این فاز ساخته نشده"), "", IF('تست کور'!I80="قبولی کامل (Pass)", 20, IF(OR('تست کور'!J80="استخراج اشتباه مبلغ یا ارقام", 'تست کور'!I80="خطا در استخراج مبلغ"), 0, IF('تست کور'!I80="قبولی مشروط (Conditional)", 15, 12))))</f>
        <v/>
      </c>
      <c r="F80" s="10">
        <f>IF(OR('تست کور'!I80="", 'تست کور'!I80="امتناع درست — قاعده‌اش در این فاز ساخته نشده"), "", IF('تست کور'!I80="قبولی کامل (Pass)", 15, IF('تست کور'!J80="عدم تشخیص سررسید یا طرف‌حساب", 0, IF('تست کور'!I80="قبولی مشروط (Conditional)", 11, 10))))</f>
        <v/>
      </c>
      <c r="G80" s="10">
        <f>IF(OR('تست کور'!I80="", 'تست کور'!I80="امتناع درست — قاعده‌اش در این فاز ساخته نشده"), "", IF('تست کور'!I80="قبولی کامل (Pass)", 15, IF(OR('تست کور'!J80="عدم طرح سؤال در سناریوی مبهم", 'تست کور'!J80="طرح سؤال تکمیلی غلط و توهم اطلاعات", 'تست کور'!I80="سؤال تکمیلی نامربوط/توهم", 'تست کور'!I80="سکوت اشتباه در ابهام"), 0, IF(OR('تست کور'!J80="از قلم افتادن بخش دوم در جمله مرکب", 'تست کور'!I80="عدم تفکیک رویدادها"), 3, IF('تست کور'!I80="قبولی مشروط (Conditional)", 11, 8)))))</f>
        <v/>
      </c>
      <c r="H80" s="10">
        <f>IF(C80="", "", C80+D80+E80+F80+G80)</f>
        <v/>
      </c>
      <c r="I80" s="12">
        <f>IF(H80="", "در انتظار آزمون", IF(H80&gt;=85, "قبولی ممتاز (Passed)", IF(H80&gt;=70, "قبولی متوسط (Acceptable)", IF(H80&gt;=50, "نیازمند بازآموزی (Retrain)", "مردود (Failed)"))))</f>
        <v/>
      </c>
      <c r="J80" s="12">
        <f>IF('تست کور'!I80="", "تست نشده", 'تست کور'!I80)</f>
        <v/>
      </c>
    </row>
    <row r="81">
      <c r="A81" s="12">
        <f>'تست کور'!A81</f>
        <v/>
      </c>
      <c r="B81" s="12">
        <f>'تست کور'!B81</f>
        <v/>
      </c>
      <c r="C81" s="10">
        <f>IF(OR('تست کور'!I81="", 'تست کور'!I81="امتناع درست — قاعده‌اش در این فاز ساخته نشده"), "", IF('تست کور'!I81="قبولی کامل (Pass)", 25, IF('تست کور'!J81="خطا در تشخیص ماهیت رویداد", 0, IF('تست کور'!I81="قبولی مشروط (Conditional)", 20, 15))))</f>
        <v/>
      </c>
      <c r="D81" s="10">
        <f>IF(OR('تست کور'!I81="", 'تست کور'!I81="امتناع درست — قاعده‌اش در این فاز ساخته نشده"), "", IF('تست کور'!I81="قبولی کامل (Pass)", 25, IF(OR('تست کور'!J81="جابجایی یا اشتباه بدهکار/بستانکار", 'تست کور'!I81="خطا در تشخیص سرفصل"), 0, IF('تست کور'!I81="قبولی مشروط (Conditional)", 18, 10))))</f>
        <v/>
      </c>
      <c r="E81" s="10">
        <f>IF(OR('تست کور'!I81="", 'تست کور'!I81="امتناع درست — قاعده‌اش در این فاز ساخته نشده"), "", IF('تست کور'!I81="قبولی کامل (Pass)", 20, IF(OR('تست کور'!J81="استخراج اشتباه مبلغ یا ارقام", 'تست کور'!I81="خطا در استخراج مبلغ"), 0, IF('تست کور'!I81="قبولی مشروط (Conditional)", 15, 12))))</f>
        <v/>
      </c>
      <c r="F81" s="10">
        <f>IF(OR('تست کور'!I81="", 'تست کور'!I81="امتناع درست — قاعده‌اش در این فاز ساخته نشده"), "", IF('تست کور'!I81="قبولی کامل (Pass)", 15, IF('تست کور'!J81="عدم تشخیص سررسید یا طرف‌حساب", 0, IF('تست کور'!I81="قبولی مشروط (Conditional)", 11, 10))))</f>
        <v/>
      </c>
      <c r="G81" s="10">
        <f>IF(OR('تست کور'!I81="", 'تست کور'!I81="امتناع درست — قاعده‌اش در این فاز ساخته نشده"), "", IF('تست کور'!I81="قبولی کامل (Pass)", 15, IF(OR('تست کور'!J81="عدم طرح سؤال در سناریوی مبهم", 'تست کور'!J81="طرح سؤال تکمیلی غلط و توهم اطلاعات", 'تست کور'!I81="سؤال تکمیلی نامربوط/توهم", 'تست کور'!I81="سکوت اشتباه در ابهام"), 0, IF(OR('تست کور'!J81="از قلم افتادن بخش دوم در جمله مرکب", 'تست کور'!I81="عدم تفکیک رویدادها"), 3, IF('تست کور'!I81="قبولی مشروط (Conditional)", 11, 8)))))</f>
        <v/>
      </c>
      <c r="H81" s="10">
        <f>IF(C81="", "", C81+D81+E81+F81+G81)</f>
        <v/>
      </c>
      <c r="I81" s="12">
        <f>IF(H81="", "در انتظار آزمون", IF(H81&gt;=85, "قبولی ممتاز (Passed)", IF(H81&gt;=70, "قبولی متوسط (Acceptable)", IF(H81&gt;=50, "نیازمند بازآموزی (Retrain)", "مردود (Failed)"))))</f>
        <v/>
      </c>
      <c r="J81" s="12">
        <f>IF('تست کور'!I81="", "تست نشده", 'تست کور'!I81)</f>
        <v/>
      </c>
    </row>
    <row r="82">
      <c r="A82" s="12">
        <f>'تست کور'!A82</f>
        <v/>
      </c>
      <c r="B82" s="12">
        <f>'تست کور'!B82</f>
        <v/>
      </c>
      <c r="C82" s="10">
        <f>IF(OR('تست کور'!I82="", 'تست کور'!I82="امتناع درست — قاعده‌اش در این فاز ساخته نشده"), "", IF('تست کور'!I82="قبولی کامل (Pass)", 25, IF('تست کور'!J82="خطا در تشخیص ماهیت رویداد", 0, IF('تست کور'!I82="قبولی مشروط (Conditional)", 20, 15))))</f>
        <v/>
      </c>
      <c r="D82" s="10">
        <f>IF(OR('تست کور'!I82="", 'تست کور'!I82="امتناع درست — قاعده‌اش در این فاز ساخته نشده"), "", IF('تست کور'!I82="قبولی کامل (Pass)", 25, IF(OR('تست کور'!J82="جابجایی یا اشتباه بدهکار/بستانکار", 'تست کور'!I82="خطا در تشخیص سرفصل"), 0, IF('تست کور'!I82="قبولی مشروط (Conditional)", 18, 10))))</f>
        <v/>
      </c>
      <c r="E82" s="10">
        <f>IF(OR('تست کور'!I82="", 'تست کور'!I82="امتناع درست — قاعده‌اش در این فاز ساخته نشده"), "", IF('تست کور'!I82="قبولی کامل (Pass)", 20, IF(OR('تست کور'!J82="استخراج اشتباه مبلغ یا ارقام", 'تست کور'!I82="خطا در استخراج مبلغ"), 0, IF('تست کور'!I82="قبولی مشروط (Conditional)", 15, 12))))</f>
        <v/>
      </c>
      <c r="F82" s="10">
        <f>IF(OR('تست کور'!I82="", 'تست کور'!I82="امتناع درست — قاعده‌اش در این فاز ساخته نشده"), "", IF('تست کور'!I82="قبولی کامل (Pass)", 15, IF('تست کور'!J82="عدم تشخیص سررسید یا طرف‌حساب", 0, IF('تست کور'!I82="قبولی مشروط (Conditional)", 11, 10))))</f>
        <v/>
      </c>
      <c r="G82" s="10">
        <f>IF(OR('تست کور'!I82="", 'تست کور'!I82="امتناع درست — قاعده‌اش در این فاز ساخته نشده"), "", IF('تست کور'!I82="قبولی کامل (Pass)", 15, IF(OR('تست کور'!J82="عدم طرح سؤال در سناریوی مبهم", 'تست کور'!J82="طرح سؤال تکمیلی غلط و توهم اطلاعات", 'تست کور'!I82="سؤال تکمیلی نامربوط/توهم", 'تست کور'!I82="سکوت اشتباه در ابهام"), 0, IF(OR('تست کور'!J82="از قلم افتادن بخش دوم در جمله مرکب", 'تست کور'!I82="عدم تفکیک رویدادها"), 3, IF('تست کور'!I82="قبولی مشروط (Conditional)", 11, 8)))))</f>
        <v/>
      </c>
      <c r="H82" s="10">
        <f>IF(C82="", "", C82+D82+E82+F82+G82)</f>
        <v/>
      </c>
      <c r="I82" s="12">
        <f>IF(H82="", "در انتظار آزمون", IF(H82&gt;=85, "قبولی ممتاز (Passed)", IF(H82&gt;=70, "قبولی متوسط (Acceptable)", IF(H82&gt;=50, "نیازمند بازآموزی (Retrain)", "مردود (Failed)"))))</f>
        <v/>
      </c>
      <c r="J82" s="12">
        <f>IF('تست کور'!I82="", "تست نشده", 'تست کور'!I82)</f>
        <v/>
      </c>
    </row>
    <row r="83">
      <c r="A83" s="12">
        <f>'تست کور'!A83</f>
        <v/>
      </c>
      <c r="B83" s="12">
        <f>'تست کور'!B83</f>
        <v/>
      </c>
      <c r="C83" s="10">
        <f>IF(OR('تست کور'!I83="", 'تست کور'!I83="امتناع درست — قاعده‌اش در این فاز ساخته نشده"), "", IF('تست کور'!I83="قبولی کامل (Pass)", 25, IF('تست کور'!J83="خطا در تشخیص ماهیت رویداد", 0, IF('تست کور'!I83="قبولی مشروط (Conditional)", 20, 15))))</f>
        <v/>
      </c>
      <c r="D83" s="10">
        <f>IF(OR('تست کور'!I83="", 'تست کور'!I83="امتناع درست — قاعده‌اش در این فاز ساخته نشده"), "", IF('تست کور'!I83="قبولی کامل (Pass)", 25, IF(OR('تست کور'!J83="جابجایی یا اشتباه بدهکار/بستانکار", 'تست کور'!I83="خطا در تشخیص سرفصل"), 0, IF('تست کور'!I83="قبولی مشروط (Conditional)", 18, 10))))</f>
        <v/>
      </c>
      <c r="E83" s="10">
        <f>IF(OR('تست کور'!I83="", 'تست کور'!I83="امتناع درست — قاعده‌اش در این فاز ساخته نشده"), "", IF('تست کور'!I83="قبولی کامل (Pass)", 20, IF(OR('تست کور'!J83="استخراج اشتباه مبلغ یا ارقام", 'تست کور'!I83="خطا در استخراج مبلغ"), 0, IF('تست کور'!I83="قبولی مشروط (Conditional)", 15, 12))))</f>
        <v/>
      </c>
      <c r="F83" s="10">
        <f>IF(OR('تست کور'!I83="", 'تست کور'!I83="امتناع درست — قاعده‌اش در این فاز ساخته نشده"), "", IF('تست کور'!I83="قبولی کامل (Pass)", 15, IF('تست کور'!J83="عدم تشخیص سررسید یا طرف‌حساب", 0, IF('تست کور'!I83="قبولی مشروط (Conditional)", 11, 10))))</f>
        <v/>
      </c>
      <c r="G83" s="10">
        <f>IF(OR('تست کور'!I83="", 'تست کور'!I83="امتناع درست — قاعده‌اش در این فاز ساخته نشده"), "", IF('تست کور'!I83="قبولی کامل (Pass)", 15, IF(OR('تست کور'!J83="عدم طرح سؤال در سناریوی مبهم", 'تست کور'!J83="طرح سؤال تکمیلی غلط و توهم اطلاعات", 'تست کور'!I83="سؤال تکمیلی نامربوط/توهم", 'تست کور'!I83="سکوت اشتباه در ابهام"), 0, IF(OR('تست کور'!J83="از قلم افتادن بخش دوم در جمله مرکب", 'تست کور'!I83="عدم تفکیک رویدادها"), 3, IF('تست کور'!I83="قبولی مشروط (Conditional)", 11, 8)))))</f>
        <v/>
      </c>
      <c r="H83" s="10">
        <f>IF(C83="", "", C83+D83+E83+F83+G83)</f>
        <v/>
      </c>
      <c r="I83" s="12">
        <f>IF(H83="", "در انتظار آزمون", IF(H83&gt;=85, "قبولی ممتاز (Passed)", IF(H83&gt;=70, "قبولی متوسط (Acceptable)", IF(H83&gt;=50, "نیازمند بازآموزی (Retrain)", "مردود (Failed)"))))</f>
        <v/>
      </c>
      <c r="J83" s="12">
        <f>IF('تست کور'!I83="", "تست نشده", 'تست کور'!I83)</f>
        <v/>
      </c>
    </row>
    <row r="84">
      <c r="A84" s="12">
        <f>'تست کور'!A84</f>
        <v/>
      </c>
      <c r="B84" s="12">
        <f>'تست کور'!B84</f>
        <v/>
      </c>
      <c r="C84" s="10">
        <f>IF(OR('تست کور'!I84="", 'تست کور'!I84="امتناع درست — قاعده‌اش در این فاز ساخته نشده"), "", IF('تست کور'!I84="قبولی کامل (Pass)", 25, IF('تست کور'!J84="خطا در تشخیص ماهیت رویداد", 0, IF('تست کور'!I84="قبولی مشروط (Conditional)", 20, 15))))</f>
        <v/>
      </c>
      <c r="D84" s="10">
        <f>IF(OR('تست کور'!I84="", 'تست کور'!I84="امتناع درست — قاعده‌اش در این فاز ساخته نشده"), "", IF('تست کور'!I84="قبولی کامل (Pass)", 25, IF(OR('تست کور'!J84="جابجایی یا اشتباه بدهکار/بستانکار", 'تست کور'!I84="خطا در تشخیص سرفصل"), 0, IF('تست کور'!I84="قبولی مشروط (Conditional)", 18, 10))))</f>
        <v/>
      </c>
      <c r="E84" s="10">
        <f>IF(OR('تست کور'!I84="", 'تست کور'!I84="امتناع درست — قاعده‌اش در این فاز ساخته نشده"), "", IF('تست کور'!I84="قبولی کامل (Pass)", 20, IF(OR('تست کور'!J84="استخراج اشتباه مبلغ یا ارقام", 'تست کور'!I84="خطا در استخراج مبلغ"), 0, IF('تست کور'!I84="قبولی مشروط (Conditional)", 15, 12))))</f>
        <v/>
      </c>
      <c r="F84" s="10">
        <f>IF(OR('تست کور'!I84="", 'تست کور'!I84="امتناع درست — قاعده‌اش در این فاز ساخته نشده"), "", IF('تست کور'!I84="قبولی کامل (Pass)", 15, IF('تست کور'!J84="عدم تشخیص سررسید یا طرف‌حساب", 0, IF('تست کور'!I84="قبولی مشروط (Conditional)", 11, 10))))</f>
        <v/>
      </c>
      <c r="G84" s="10">
        <f>IF(OR('تست کور'!I84="", 'تست کور'!I84="امتناع درست — قاعده‌اش در این فاز ساخته نشده"), "", IF('تست کور'!I84="قبولی کامل (Pass)", 15, IF(OR('تست کور'!J84="عدم طرح سؤال در سناریوی مبهم", 'تست کور'!J84="طرح سؤال تکمیلی غلط و توهم اطلاعات", 'تست کور'!I84="سؤال تکمیلی نامربوط/توهم", 'تست کور'!I84="سکوت اشتباه در ابهام"), 0, IF(OR('تست کور'!J84="از قلم افتادن بخش دوم در جمله مرکب", 'تست کور'!I84="عدم تفکیک رویدادها"), 3, IF('تست کور'!I84="قبولی مشروط (Conditional)", 11, 8)))))</f>
        <v/>
      </c>
      <c r="H84" s="10">
        <f>IF(C84="", "", C84+D84+E84+F84+G84)</f>
        <v/>
      </c>
      <c r="I84" s="12">
        <f>IF(H84="", "در انتظار آزمون", IF(H84&gt;=85, "قبولی ممتاز (Passed)", IF(H84&gt;=70, "قبولی متوسط (Acceptable)", IF(H84&gt;=50, "نیازمند بازآموزی (Retrain)", "مردود (Failed)"))))</f>
        <v/>
      </c>
      <c r="J84" s="12">
        <f>IF('تست کور'!I84="", "تست نشده", 'تست کور'!I84)</f>
        <v/>
      </c>
    </row>
    <row r="85">
      <c r="A85" s="12">
        <f>'تست کور'!A85</f>
        <v/>
      </c>
      <c r="B85" s="12">
        <f>'تست کور'!B85</f>
        <v/>
      </c>
      <c r="C85" s="10">
        <f>IF(OR('تست کور'!I85="", 'تست کور'!I85="امتناع درست — قاعده‌اش در این فاز ساخته نشده"), "", IF('تست کور'!I85="قبولی کامل (Pass)", 25, IF('تست کور'!J85="خطا در تشخیص ماهیت رویداد", 0, IF('تست کور'!I85="قبولی مشروط (Conditional)", 20, 15))))</f>
        <v/>
      </c>
      <c r="D85" s="10">
        <f>IF(OR('تست کور'!I85="", 'تست کور'!I85="امتناع درست — قاعده‌اش در این فاز ساخته نشده"), "", IF('تست کور'!I85="قبولی کامل (Pass)", 25, IF(OR('تست کور'!J85="جابجایی یا اشتباه بدهکار/بستانکار", 'تست کور'!I85="خطا در تشخیص سرفصل"), 0, IF('تست کور'!I85="قبولی مشروط (Conditional)", 18, 10))))</f>
        <v/>
      </c>
      <c r="E85" s="10">
        <f>IF(OR('تست کور'!I85="", 'تست کور'!I85="امتناع درست — قاعده‌اش در این فاز ساخته نشده"), "", IF('تست کور'!I85="قبولی کامل (Pass)", 20, IF(OR('تست کور'!J85="استخراج اشتباه مبلغ یا ارقام", 'تست کور'!I85="خطا در استخراج مبلغ"), 0, IF('تست کور'!I85="قبولی مشروط (Conditional)", 15, 12))))</f>
        <v/>
      </c>
      <c r="F85" s="10">
        <f>IF(OR('تست کور'!I85="", 'تست کور'!I85="امتناع درست — قاعده‌اش در این فاز ساخته نشده"), "", IF('تست کور'!I85="قبولی کامل (Pass)", 15, IF('تست کور'!J85="عدم تشخیص سررسید یا طرف‌حساب", 0, IF('تست کور'!I85="قبولی مشروط (Conditional)", 11, 10))))</f>
        <v/>
      </c>
      <c r="G85" s="10">
        <f>IF(OR('تست کور'!I85="", 'تست کور'!I85="امتناع درست — قاعده‌اش در این فاز ساخته نشده"), "", IF('تست کور'!I85="قبولی کامل (Pass)", 15, IF(OR('تست کور'!J85="عدم طرح سؤال در سناریوی مبهم", 'تست کور'!J85="طرح سؤال تکمیلی غلط و توهم اطلاعات", 'تست کور'!I85="سؤال تکمیلی نامربوط/توهم", 'تست کور'!I85="سکوت اشتباه در ابهام"), 0, IF(OR('تست کور'!J85="از قلم افتادن بخش دوم در جمله مرکب", 'تست کور'!I85="عدم تفکیک رویدادها"), 3, IF('تست کور'!I85="قبولی مشروط (Conditional)", 11, 8)))))</f>
        <v/>
      </c>
      <c r="H85" s="10">
        <f>IF(C85="", "", C85+D85+E85+F85+G85)</f>
        <v/>
      </c>
      <c r="I85" s="12">
        <f>IF(H85="", "در انتظار آزمون", IF(H85&gt;=85, "قبولی ممتاز (Passed)", IF(H85&gt;=70, "قبولی متوسط (Acceptable)", IF(H85&gt;=50, "نیازمند بازآموزی (Retrain)", "مردود (Failed)"))))</f>
        <v/>
      </c>
      <c r="J85" s="12">
        <f>IF('تست کور'!I85="", "تست نشده", 'تست کور'!I85)</f>
        <v/>
      </c>
    </row>
    <row r="86">
      <c r="A86" s="12">
        <f>'تست کور'!A86</f>
        <v/>
      </c>
      <c r="B86" s="12">
        <f>'تست کور'!B86</f>
        <v/>
      </c>
      <c r="C86" s="10">
        <f>IF(OR('تست کور'!I86="", 'تست کور'!I86="امتناع درست — قاعده‌اش در این فاز ساخته نشده"), "", IF('تست کور'!I86="قبولی کامل (Pass)", 25, IF('تست کور'!J86="خطا در تشخیص ماهیت رویداد", 0, IF('تست کور'!I86="قبولی مشروط (Conditional)", 20, 15))))</f>
        <v/>
      </c>
      <c r="D86" s="10">
        <f>IF(OR('تست کور'!I86="", 'تست کور'!I86="امتناع درست — قاعده‌اش در این فاز ساخته نشده"), "", IF('تست کور'!I86="قبولی کامل (Pass)", 25, IF(OR('تست کور'!J86="جابجایی یا اشتباه بدهکار/بستانکار", 'تست کور'!I86="خطا در تشخیص سرفصل"), 0, IF('تست کور'!I86="قبولی مشروط (Conditional)", 18, 10))))</f>
        <v/>
      </c>
      <c r="E86" s="10">
        <f>IF(OR('تست کور'!I86="", 'تست کور'!I86="امتناع درست — قاعده‌اش در این فاز ساخته نشده"), "", IF('تست کور'!I86="قبولی کامل (Pass)", 20, IF(OR('تست کور'!J86="استخراج اشتباه مبلغ یا ارقام", 'تست کور'!I86="خطا در استخراج مبلغ"), 0, IF('تست کور'!I86="قبولی مشروط (Conditional)", 15, 12))))</f>
        <v/>
      </c>
      <c r="F86" s="10">
        <f>IF(OR('تست کور'!I86="", 'تست کور'!I86="امتناع درست — قاعده‌اش در این فاز ساخته نشده"), "", IF('تست کور'!I86="قبولی کامل (Pass)", 15, IF('تست کور'!J86="عدم تشخیص سررسید یا طرف‌حساب", 0, IF('تست کور'!I86="قبولی مشروط (Conditional)", 11, 10))))</f>
        <v/>
      </c>
      <c r="G86" s="10">
        <f>IF(OR('تست کور'!I86="", 'تست کور'!I86="امتناع درست — قاعده‌اش در این فاز ساخته نشده"), "", IF('تست کور'!I86="قبولی کامل (Pass)", 15, IF(OR('تست کور'!J86="عدم طرح سؤال در سناریوی مبهم", 'تست کور'!J86="طرح سؤال تکمیلی غلط و توهم اطلاعات", 'تست کور'!I86="سؤال تکمیلی نامربوط/توهم", 'تست کور'!I86="سکوت اشتباه در ابهام"), 0, IF(OR('تست کور'!J86="از قلم افتادن بخش دوم در جمله مرکب", 'تست کور'!I86="عدم تفکیک رویدادها"), 3, IF('تست کور'!I86="قبولی مشروط (Conditional)", 11, 8)))))</f>
        <v/>
      </c>
      <c r="H86" s="10">
        <f>IF(C86="", "", C86+D86+E86+F86+G86)</f>
        <v/>
      </c>
      <c r="I86" s="12">
        <f>IF(H86="", "در انتظار آزمون", IF(H86&gt;=85, "قبولی ممتاز (Passed)", IF(H86&gt;=70, "قبولی متوسط (Acceptable)", IF(H86&gt;=50, "نیازمند بازآموزی (Retrain)", "مردود (Failed)"))))</f>
        <v/>
      </c>
      <c r="J86" s="12">
        <f>IF('تست کور'!I86="", "تست نشده", 'تست کور'!I86)</f>
        <v/>
      </c>
    </row>
    <row r="87">
      <c r="A87" s="12">
        <f>'تست کور'!A87</f>
        <v/>
      </c>
      <c r="B87" s="12">
        <f>'تست کور'!B87</f>
        <v/>
      </c>
      <c r="C87" s="10">
        <f>IF(OR('تست کور'!I87="", 'تست کور'!I87="امتناع درست — قاعده‌اش در این فاز ساخته نشده"), "", IF('تست کور'!I87="قبولی کامل (Pass)", 25, IF('تست کور'!J87="خطا در تشخیص ماهیت رویداد", 0, IF('تست کور'!I87="قبولی مشروط (Conditional)", 20, 15))))</f>
        <v/>
      </c>
      <c r="D87" s="10">
        <f>IF(OR('تست کور'!I87="", 'تست کور'!I87="امتناع درست — قاعده‌اش در این فاز ساخته نشده"), "", IF('تست کور'!I87="قبولی کامل (Pass)", 25, IF(OR('تست کور'!J87="جابجایی یا اشتباه بدهکار/بستانکار", 'تست کور'!I87="خطا در تشخیص سرفصل"), 0, IF('تست کور'!I87="قبولی مشروط (Conditional)", 18, 10))))</f>
        <v/>
      </c>
      <c r="E87" s="10">
        <f>IF(OR('تست کور'!I87="", 'تست کور'!I87="امتناع درست — قاعده‌اش در این فاز ساخته نشده"), "", IF('تست کور'!I87="قبولی کامل (Pass)", 20, IF(OR('تست کور'!J87="استخراج اشتباه مبلغ یا ارقام", 'تست کور'!I87="خطا در استخراج مبلغ"), 0, IF('تست کور'!I87="قبولی مشروط (Conditional)", 15, 12))))</f>
        <v/>
      </c>
      <c r="F87" s="10">
        <f>IF(OR('تست کور'!I87="", 'تست کور'!I87="امتناع درست — قاعده‌اش در این فاز ساخته نشده"), "", IF('تست کور'!I87="قبولی کامل (Pass)", 15, IF('تست کور'!J87="عدم تشخیص سررسید یا طرف‌حساب", 0, IF('تست کور'!I87="قبولی مشروط (Conditional)", 11, 10))))</f>
        <v/>
      </c>
      <c r="G87" s="10">
        <f>IF(OR('تست کور'!I87="", 'تست کور'!I87="امتناع درست — قاعده‌اش در این فاز ساخته نشده"), "", IF('تست کور'!I87="قبولی کامل (Pass)", 15, IF(OR('تست کور'!J87="عدم طرح سؤال در سناریوی مبهم", 'تست کور'!J87="طرح سؤال تکمیلی غلط و توهم اطلاعات", 'تست کور'!I87="سؤال تکمیلی نامربوط/توهم", 'تست کور'!I87="سکوت اشتباه در ابهام"), 0, IF(OR('تست کور'!J87="از قلم افتادن بخش دوم در جمله مرکب", 'تست کور'!I87="عدم تفکیک رویدادها"), 3, IF('تست کور'!I87="قبولی مشروط (Conditional)", 11, 8)))))</f>
        <v/>
      </c>
      <c r="H87" s="10">
        <f>IF(C87="", "", C87+D87+E87+F87+G87)</f>
        <v/>
      </c>
      <c r="I87" s="12">
        <f>IF(H87="", "در انتظار آزمون", IF(H87&gt;=85, "قبولی ممتاز (Passed)", IF(H87&gt;=70, "قبولی متوسط (Acceptable)", IF(H87&gt;=50, "نیازمند بازآموزی (Retrain)", "مردود (Failed)"))))</f>
        <v/>
      </c>
      <c r="J87" s="12">
        <f>IF('تست کور'!I87="", "تست نشده", 'تست کور'!I87)</f>
        <v/>
      </c>
    </row>
    <row r="88">
      <c r="A88" s="12">
        <f>'تست کور'!A88</f>
        <v/>
      </c>
      <c r="B88" s="12">
        <f>'تست کور'!B88</f>
        <v/>
      </c>
      <c r="C88" s="10">
        <f>IF(OR('تست کور'!I88="", 'تست کور'!I88="امتناع درست — قاعده‌اش در این فاز ساخته نشده"), "", IF('تست کور'!I88="قبولی کامل (Pass)", 25, IF('تست کور'!J88="خطا در تشخیص ماهیت رویداد", 0, IF('تست کور'!I88="قبولی مشروط (Conditional)", 20, 15))))</f>
        <v/>
      </c>
      <c r="D88" s="10">
        <f>IF(OR('تست کور'!I88="", 'تست کور'!I88="امتناع درست — قاعده‌اش در این فاز ساخته نشده"), "", IF('تست کور'!I88="قبولی کامل (Pass)", 25, IF(OR('تست کور'!J88="جابجایی یا اشتباه بدهکار/بستانکار", 'تست کور'!I88="خطا در تشخیص سرفصل"), 0, IF('تست کور'!I88="قبولی مشروط (Conditional)", 18, 10))))</f>
        <v/>
      </c>
      <c r="E88" s="10">
        <f>IF(OR('تست کور'!I88="", 'تست کور'!I88="امتناع درست — قاعده‌اش در این فاز ساخته نشده"), "", IF('تست کور'!I88="قبولی کامل (Pass)", 20, IF(OR('تست کور'!J88="استخراج اشتباه مبلغ یا ارقام", 'تست کور'!I88="خطا در استخراج مبلغ"), 0, IF('تست کور'!I88="قبولی مشروط (Conditional)", 15, 12))))</f>
        <v/>
      </c>
      <c r="F88" s="10">
        <f>IF(OR('تست کور'!I88="", 'تست کور'!I88="امتناع درست — قاعده‌اش در این فاز ساخته نشده"), "", IF('تست کور'!I88="قبولی کامل (Pass)", 15, IF('تست کور'!J88="عدم تشخیص سررسید یا طرف‌حساب", 0, IF('تست کور'!I88="قبولی مشروط (Conditional)", 11, 10))))</f>
        <v/>
      </c>
      <c r="G88" s="10">
        <f>IF(OR('تست کور'!I88="", 'تست کور'!I88="امتناع درست — قاعده‌اش در این فاز ساخته نشده"), "", IF('تست کور'!I88="قبولی کامل (Pass)", 15, IF(OR('تست کور'!J88="عدم طرح سؤال در سناریوی مبهم", 'تست کور'!J88="طرح سؤال تکمیلی غلط و توهم اطلاعات", 'تست کور'!I88="سؤال تکمیلی نامربوط/توهم", 'تست کور'!I88="سکوت اشتباه در ابهام"), 0, IF(OR('تست کور'!J88="از قلم افتادن بخش دوم در جمله مرکب", 'تست کور'!I88="عدم تفکیک رویدادها"), 3, IF('تست کور'!I88="قبولی مشروط (Conditional)", 11, 8)))))</f>
        <v/>
      </c>
      <c r="H88" s="10">
        <f>IF(C88="", "", C88+D88+E88+F88+G88)</f>
        <v/>
      </c>
      <c r="I88" s="12">
        <f>IF(H88="", "در انتظار آزمون", IF(H88&gt;=85, "قبولی ممتاز (Passed)", IF(H88&gt;=70, "قبولی متوسط (Acceptable)", IF(H88&gt;=50, "نیازمند بازآموزی (Retrain)", "مردود (Failed)"))))</f>
        <v/>
      </c>
      <c r="J88" s="12">
        <f>IF('تست کور'!I88="", "تست نشده", 'تست کور'!I88)</f>
        <v/>
      </c>
    </row>
    <row r="89">
      <c r="A89" s="12">
        <f>'تست کور'!A89</f>
        <v/>
      </c>
      <c r="B89" s="12">
        <f>'تست کور'!B89</f>
        <v/>
      </c>
      <c r="C89" s="10">
        <f>IF(OR('تست کور'!I89="", 'تست کور'!I89="امتناع درست — قاعده‌اش در این فاز ساخته نشده"), "", IF('تست کور'!I89="قبولی کامل (Pass)", 25, IF('تست کور'!J89="خطا در تشخیص ماهیت رویداد", 0, IF('تست کور'!I89="قبولی مشروط (Conditional)", 20, 15))))</f>
        <v/>
      </c>
      <c r="D89" s="10">
        <f>IF(OR('تست کور'!I89="", 'تست کور'!I89="امتناع درست — قاعده‌اش در این فاز ساخته نشده"), "", IF('تست کور'!I89="قبولی کامل (Pass)", 25, IF(OR('تست کور'!J89="جابجایی یا اشتباه بدهکار/بستانکار", 'تست کور'!I89="خطا در تشخیص سرفصل"), 0, IF('تست کور'!I89="قبولی مشروط (Conditional)", 18, 10))))</f>
        <v/>
      </c>
      <c r="E89" s="10">
        <f>IF(OR('تست کور'!I89="", 'تست کور'!I89="امتناع درست — قاعده‌اش در این فاز ساخته نشده"), "", IF('تست کور'!I89="قبولی کامل (Pass)", 20, IF(OR('تست کور'!J89="استخراج اشتباه مبلغ یا ارقام", 'تست کور'!I89="خطا در استخراج مبلغ"), 0, IF('تست کور'!I89="قبولی مشروط (Conditional)", 15, 12))))</f>
        <v/>
      </c>
      <c r="F89" s="10">
        <f>IF(OR('تست کور'!I89="", 'تست کور'!I89="امتناع درست — قاعده‌اش در این فاز ساخته نشده"), "", IF('تست کور'!I89="قبولی کامل (Pass)", 15, IF('تست کور'!J89="عدم تشخیص سررسید یا طرف‌حساب", 0, IF('تست کور'!I89="قبولی مشروط (Conditional)", 11, 10))))</f>
        <v/>
      </c>
      <c r="G89" s="10">
        <f>IF(OR('تست کور'!I89="", 'تست کور'!I89="امتناع درست — قاعده‌اش در این فاز ساخته نشده"), "", IF('تست کور'!I89="قبولی کامل (Pass)", 15, IF(OR('تست کور'!J89="عدم طرح سؤال در سناریوی مبهم", 'تست کور'!J89="طرح سؤال تکمیلی غلط و توهم اطلاعات", 'تست کور'!I89="سؤال تکمیلی نامربوط/توهم", 'تست کور'!I89="سکوت اشتباه در ابهام"), 0, IF(OR('تست کور'!J89="از قلم افتادن بخش دوم در جمله مرکب", 'تست کور'!I89="عدم تفکیک رویدادها"), 3, IF('تست کور'!I89="قبولی مشروط (Conditional)", 11, 8)))))</f>
        <v/>
      </c>
      <c r="H89" s="10">
        <f>IF(C89="", "", C89+D89+E89+F89+G89)</f>
        <v/>
      </c>
      <c r="I89" s="12">
        <f>IF(H89="", "در انتظار آزمون", IF(H89&gt;=85, "قبولی ممتاز (Passed)", IF(H89&gt;=70, "قبولی متوسط (Acceptable)", IF(H89&gt;=50, "نیازمند بازآموزی (Retrain)", "مردود (Failed)"))))</f>
        <v/>
      </c>
      <c r="J89" s="12">
        <f>IF('تست کور'!I89="", "تست نشده", 'تست کور'!I89)</f>
        <v/>
      </c>
    </row>
    <row r="90">
      <c r="A90" s="12">
        <f>'تست کور'!A90</f>
        <v/>
      </c>
      <c r="B90" s="12">
        <f>'تست کور'!B90</f>
        <v/>
      </c>
      <c r="C90" s="10">
        <f>IF(OR('تست کور'!I90="", 'تست کور'!I90="امتناع درست — قاعده‌اش در این فاز ساخته نشده"), "", IF('تست کور'!I90="قبولی کامل (Pass)", 25, IF('تست کور'!J90="خطا در تشخیص ماهیت رویداد", 0, IF('تست کور'!I90="قبولی مشروط (Conditional)", 20, 15))))</f>
        <v/>
      </c>
      <c r="D90" s="10">
        <f>IF(OR('تست کور'!I90="", 'تست کور'!I90="امتناع درست — قاعده‌اش در این فاز ساخته نشده"), "", IF('تست کور'!I90="قبولی کامل (Pass)", 25, IF(OR('تست کور'!J90="جابجایی یا اشتباه بدهکار/بستانکار", 'تست کور'!I90="خطا در تشخیص سرفصل"), 0, IF('تست کور'!I90="قبولی مشروط (Conditional)", 18, 10))))</f>
        <v/>
      </c>
      <c r="E90" s="10">
        <f>IF(OR('تست کور'!I90="", 'تست کور'!I90="امتناع درست — قاعده‌اش در این فاز ساخته نشده"), "", IF('تست کور'!I90="قبولی کامل (Pass)", 20, IF(OR('تست کور'!J90="استخراج اشتباه مبلغ یا ارقام", 'تست کور'!I90="خطا در استخراج مبلغ"), 0, IF('تست کور'!I90="قبولی مشروط (Conditional)", 15, 12))))</f>
        <v/>
      </c>
      <c r="F90" s="10">
        <f>IF(OR('تست کور'!I90="", 'تست کور'!I90="امتناع درست — قاعده‌اش در این فاز ساخته نشده"), "", IF('تست کور'!I90="قبولی کامل (Pass)", 15, IF('تست کور'!J90="عدم تشخیص سررسید یا طرف‌حساب", 0, IF('تست کور'!I90="قبولی مشروط (Conditional)", 11, 10))))</f>
        <v/>
      </c>
      <c r="G90" s="10">
        <f>IF(OR('تست کور'!I90="", 'تست کور'!I90="امتناع درست — قاعده‌اش در این فاز ساخته نشده"), "", IF('تست کور'!I90="قبولی کامل (Pass)", 15, IF(OR('تست کور'!J90="عدم طرح سؤال در سناریوی مبهم", 'تست کور'!J90="طرح سؤال تکمیلی غلط و توهم اطلاعات", 'تست کور'!I90="سؤال تکمیلی نامربوط/توهم", 'تست کور'!I90="سکوت اشتباه در ابهام"), 0, IF(OR('تست کور'!J90="از قلم افتادن بخش دوم در جمله مرکب", 'تست کور'!I90="عدم تفکیک رویدادها"), 3, IF('تست کور'!I90="قبولی مشروط (Conditional)", 11, 8)))))</f>
        <v/>
      </c>
      <c r="H90" s="10">
        <f>IF(C90="", "", C90+D90+E90+F90+G90)</f>
        <v/>
      </c>
      <c r="I90" s="12">
        <f>IF(H90="", "در انتظار آزمون", IF(H90&gt;=85, "قبولی ممتاز (Passed)", IF(H90&gt;=70, "قبولی متوسط (Acceptable)", IF(H90&gt;=50, "نیازمند بازآموزی (Retrain)", "مردود (Failed)"))))</f>
        <v/>
      </c>
      <c r="J90" s="12">
        <f>IF('تست کور'!I90="", "تست نشده", 'تست کور'!I90)</f>
        <v/>
      </c>
    </row>
    <row r="91">
      <c r="A91" s="12">
        <f>'تست کور'!A91</f>
        <v/>
      </c>
      <c r="B91" s="12">
        <f>'تست کور'!B91</f>
        <v/>
      </c>
      <c r="C91" s="10">
        <f>IF(OR('تست کور'!I91="", 'تست کور'!I91="امتناع درست — قاعده‌اش در این فاز ساخته نشده"), "", IF('تست کور'!I91="قبولی کامل (Pass)", 25, IF('تست کور'!J91="خطا در تشخیص ماهیت رویداد", 0, IF('تست کور'!I91="قبولی مشروط (Conditional)", 20, 15))))</f>
        <v/>
      </c>
      <c r="D91" s="10">
        <f>IF(OR('تست کور'!I91="", 'تست کور'!I91="امتناع درست — قاعده‌اش در این فاز ساخته نشده"), "", IF('تست کور'!I91="قبولی کامل (Pass)", 25, IF(OR('تست کور'!J91="جابجایی یا اشتباه بدهکار/بستانکار", 'تست کور'!I91="خطا در تشخیص سرفصل"), 0, IF('تست کور'!I91="قبولی مشروط (Conditional)", 18, 10))))</f>
        <v/>
      </c>
      <c r="E91" s="10">
        <f>IF(OR('تست کور'!I91="", 'تست کور'!I91="امتناع درست — قاعده‌اش در این فاز ساخته نشده"), "", IF('تست کور'!I91="قبولی کامل (Pass)", 20, IF(OR('تست کور'!J91="استخراج اشتباه مبلغ یا ارقام", 'تست کور'!I91="خطا در استخراج مبلغ"), 0, IF('تست کور'!I91="قبولی مشروط (Conditional)", 15, 12))))</f>
        <v/>
      </c>
      <c r="F91" s="10">
        <f>IF(OR('تست کور'!I91="", 'تست کور'!I91="امتناع درست — قاعده‌اش در این فاز ساخته نشده"), "", IF('تست کور'!I91="قبولی کامل (Pass)", 15, IF('تست کور'!J91="عدم تشخیص سررسید یا طرف‌حساب", 0, IF('تست کور'!I91="قبولی مشروط (Conditional)", 11, 10))))</f>
        <v/>
      </c>
      <c r="G91" s="10">
        <f>IF(OR('تست کور'!I91="", 'تست کور'!I91="امتناع درست — قاعده‌اش در این فاز ساخته نشده"), "", IF('تست کور'!I91="قبولی کامل (Pass)", 15, IF(OR('تست کور'!J91="عدم طرح سؤال در سناریوی مبهم", 'تست کور'!J91="طرح سؤال تکمیلی غلط و توهم اطلاعات", 'تست کور'!I91="سؤال تکمیلی نامربوط/توهم", 'تست کور'!I91="سکوت اشتباه در ابهام"), 0, IF(OR('تست کور'!J91="از قلم افتادن بخش دوم در جمله مرکب", 'تست کور'!I91="عدم تفکیک رویدادها"), 3, IF('تست کور'!I91="قبولی مشروط (Conditional)", 11, 8)))))</f>
        <v/>
      </c>
      <c r="H91" s="10">
        <f>IF(C91="", "", C91+D91+E91+F91+G91)</f>
        <v/>
      </c>
      <c r="I91" s="12">
        <f>IF(H91="", "در انتظار آزمون", IF(H91&gt;=85, "قبولی ممتاز (Passed)", IF(H91&gt;=70, "قبولی متوسط (Acceptable)", IF(H91&gt;=50, "نیازمند بازآموزی (Retrain)", "مردود (Failed)"))))</f>
        <v/>
      </c>
      <c r="J91" s="12">
        <f>IF('تست کور'!I91="", "تست نشده", 'تست کور'!I91)</f>
        <v/>
      </c>
    </row>
    <row r="92">
      <c r="A92" s="12">
        <f>'تست کور'!A92</f>
        <v/>
      </c>
      <c r="B92" s="12">
        <f>'تست کور'!B92</f>
        <v/>
      </c>
      <c r="C92" s="10">
        <f>IF(OR('تست کور'!I92="", 'تست کور'!I92="امتناع درست — قاعده‌اش در این فاز ساخته نشده"), "", IF('تست کور'!I92="قبولی کامل (Pass)", 25, IF('تست کور'!J92="خطا در تشخیص ماهیت رویداد", 0, IF('تست کور'!I92="قبولی مشروط (Conditional)", 20, 15))))</f>
        <v/>
      </c>
      <c r="D92" s="10">
        <f>IF(OR('تست کور'!I92="", 'تست کور'!I92="امتناع درست — قاعده‌اش در این فاز ساخته نشده"), "", IF('تست کور'!I92="قبولی کامل (Pass)", 25, IF(OR('تست کور'!J92="جابجایی یا اشتباه بدهکار/بستانکار", 'تست کور'!I92="خطا در تشخیص سرفصل"), 0, IF('تست کور'!I92="قبولی مشروط (Conditional)", 18, 10))))</f>
        <v/>
      </c>
      <c r="E92" s="10">
        <f>IF(OR('تست کور'!I92="", 'تست کور'!I92="امتناع درست — قاعده‌اش در این فاز ساخته نشده"), "", IF('تست کور'!I92="قبولی کامل (Pass)", 20, IF(OR('تست کور'!J92="استخراج اشتباه مبلغ یا ارقام", 'تست کور'!I92="خطا در استخراج مبلغ"), 0, IF('تست کور'!I92="قبولی مشروط (Conditional)", 15, 12))))</f>
        <v/>
      </c>
      <c r="F92" s="10">
        <f>IF(OR('تست کور'!I92="", 'تست کور'!I92="امتناع درست — قاعده‌اش در این فاز ساخته نشده"), "", IF('تست کور'!I92="قبولی کامل (Pass)", 15, IF('تست کور'!J92="عدم تشخیص سررسید یا طرف‌حساب", 0, IF('تست کور'!I92="قبولی مشروط (Conditional)", 11, 10))))</f>
        <v/>
      </c>
      <c r="G92" s="10">
        <f>IF(OR('تست کور'!I92="", 'تست کور'!I92="امتناع درست — قاعده‌اش در این فاز ساخته نشده"), "", IF('تست کور'!I92="قبولی کامل (Pass)", 15, IF(OR('تست کور'!J92="عدم طرح سؤال در سناریوی مبهم", 'تست کور'!J92="طرح سؤال تکمیلی غلط و توهم اطلاعات", 'تست کور'!I92="سؤال تکمیلی نامربوط/توهم", 'تست کور'!I92="سکوت اشتباه در ابهام"), 0, IF(OR('تست کور'!J92="از قلم افتادن بخش دوم در جمله مرکب", 'تست کور'!I92="عدم تفکیک رویدادها"), 3, IF('تست کور'!I92="قبولی مشروط (Conditional)", 11, 8)))))</f>
        <v/>
      </c>
      <c r="H92" s="10">
        <f>IF(C92="", "", C92+D92+E92+F92+G92)</f>
        <v/>
      </c>
      <c r="I92" s="12">
        <f>IF(H92="", "در انتظار آزمون", IF(H92&gt;=85, "قبولی ممتاز (Passed)", IF(H92&gt;=70, "قبولی متوسط (Acceptable)", IF(H92&gt;=50, "نیازمند بازآموزی (Retrain)", "مردود (Failed)"))))</f>
        <v/>
      </c>
      <c r="J92" s="12">
        <f>IF('تست کور'!I92="", "تست نشده", 'تست کور'!I92)</f>
        <v/>
      </c>
    </row>
    <row r="93">
      <c r="A93" s="12">
        <f>'تست کور'!A93</f>
        <v/>
      </c>
      <c r="B93" s="12">
        <f>'تست کور'!B93</f>
        <v/>
      </c>
      <c r="C93" s="10">
        <f>IF(OR('تست کور'!I93="", 'تست کور'!I93="امتناع درست — قاعده‌اش در این فاز ساخته نشده"), "", IF('تست کور'!I93="قبولی کامل (Pass)", 25, IF('تست کور'!J93="خطا در تشخیص ماهیت رویداد", 0, IF('تست کور'!I93="قبولی مشروط (Conditional)", 20, 15))))</f>
        <v/>
      </c>
      <c r="D93" s="10">
        <f>IF(OR('تست کور'!I93="", 'تست کور'!I93="امتناع درست — قاعده‌اش در این فاز ساخته نشده"), "", IF('تست کور'!I93="قبولی کامل (Pass)", 25, IF(OR('تست کور'!J93="جابجایی یا اشتباه بدهکار/بستانکار", 'تست کور'!I93="خطا در تشخیص سرفصل"), 0, IF('تست کور'!I93="قبولی مشروط (Conditional)", 18, 10))))</f>
        <v/>
      </c>
      <c r="E93" s="10">
        <f>IF(OR('تست کور'!I93="", 'تست کور'!I93="امتناع درست — قاعده‌اش در این فاز ساخته نشده"), "", IF('تست کور'!I93="قبولی کامل (Pass)", 20, IF(OR('تست کور'!J93="استخراج اشتباه مبلغ یا ارقام", 'تست کور'!I93="خطا در استخراج مبلغ"), 0, IF('تست کور'!I93="قبولی مشروط (Conditional)", 15, 12))))</f>
        <v/>
      </c>
      <c r="F93" s="10">
        <f>IF(OR('تست کور'!I93="", 'تست کور'!I93="امتناع درست — قاعده‌اش در این فاز ساخته نشده"), "", IF('تست کور'!I93="قبولی کامل (Pass)", 15, IF('تست کور'!J93="عدم تشخیص سررسید یا طرف‌حساب", 0, IF('تست کور'!I93="قبولی مشروط (Conditional)", 11, 10))))</f>
        <v/>
      </c>
      <c r="G93" s="10">
        <f>IF(OR('تست کور'!I93="", 'تست کور'!I93="امتناع درست — قاعده‌اش در این فاز ساخته نشده"), "", IF('تست کور'!I93="قبولی کامل (Pass)", 15, IF(OR('تست کور'!J93="عدم طرح سؤال در سناریوی مبهم", 'تست کور'!J93="طرح سؤال تکمیلی غلط و توهم اطلاعات", 'تست کور'!I93="سؤال تکمیلی نامربوط/توهم", 'تست کور'!I93="سکوت اشتباه در ابهام"), 0, IF(OR('تست کور'!J93="از قلم افتادن بخش دوم در جمله مرکب", 'تست کور'!I93="عدم تفکیک رویدادها"), 3, IF('تست کور'!I93="قبولی مشروط (Conditional)", 11, 8)))))</f>
        <v/>
      </c>
      <c r="H93" s="10">
        <f>IF(C93="", "", C93+D93+E93+F93+G93)</f>
        <v/>
      </c>
      <c r="I93" s="12">
        <f>IF(H93="", "در انتظار آزمون", IF(H93&gt;=85, "قبولی ممتاز (Passed)", IF(H93&gt;=70, "قبولی متوسط (Acceptable)", IF(H93&gt;=50, "نیازمند بازآموزی (Retrain)", "مردود (Failed)"))))</f>
        <v/>
      </c>
      <c r="J93" s="12">
        <f>IF('تست کور'!I93="", "تست نشده", 'تست کور'!I93)</f>
        <v/>
      </c>
    </row>
    <row r="94">
      <c r="A94" s="12">
        <f>'تست کور'!A94</f>
        <v/>
      </c>
      <c r="B94" s="12">
        <f>'تست کور'!B94</f>
        <v/>
      </c>
      <c r="C94" s="10">
        <f>IF(OR('تست کور'!I94="", 'تست کور'!I94="امتناع درست — قاعده‌اش در این فاز ساخته نشده"), "", IF('تست کور'!I94="قبولی کامل (Pass)", 25, IF('تست کور'!J94="خطا در تشخیص ماهیت رویداد", 0, IF('تست کور'!I94="قبولی مشروط (Conditional)", 20, 15))))</f>
        <v/>
      </c>
      <c r="D94" s="10">
        <f>IF(OR('تست کور'!I94="", 'تست کور'!I94="امتناع درست — قاعده‌اش در این فاز ساخته نشده"), "", IF('تست کور'!I94="قبولی کامل (Pass)", 25, IF(OR('تست کور'!J94="جابجایی یا اشتباه بدهکار/بستانکار", 'تست کور'!I94="خطا در تشخیص سرفصل"), 0, IF('تست کور'!I94="قبولی مشروط (Conditional)", 18, 10))))</f>
        <v/>
      </c>
      <c r="E94" s="10">
        <f>IF(OR('تست کور'!I94="", 'تست کور'!I94="امتناع درست — قاعده‌اش در این فاز ساخته نشده"), "", IF('تست کور'!I94="قبولی کامل (Pass)", 20, IF(OR('تست کور'!J94="استخراج اشتباه مبلغ یا ارقام", 'تست کور'!I94="خطا در استخراج مبلغ"), 0, IF('تست کور'!I94="قبولی مشروط (Conditional)", 15, 12))))</f>
        <v/>
      </c>
      <c r="F94" s="10">
        <f>IF(OR('تست کور'!I94="", 'تست کور'!I94="امتناع درست — قاعده‌اش در این فاز ساخته نشده"), "", IF('تست کور'!I94="قبولی کامل (Pass)", 15, IF('تست کور'!J94="عدم تشخیص سررسید یا طرف‌حساب", 0, IF('تست کور'!I94="قبولی مشروط (Conditional)", 11, 10))))</f>
        <v/>
      </c>
      <c r="G94" s="10">
        <f>IF(OR('تست کور'!I94="", 'تست کور'!I94="امتناع درست — قاعده‌اش در این فاز ساخته نشده"), "", IF('تست کور'!I94="قبولی کامل (Pass)", 15, IF(OR('تست کور'!J94="عدم طرح سؤال در سناریوی مبهم", 'تست کور'!J94="طرح سؤال تکمیلی غلط و توهم اطلاعات", 'تست کور'!I94="سؤال تکمیلی نامربوط/توهم", 'تست کور'!I94="سکوت اشتباه در ابهام"), 0, IF(OR('تست کور'!J94="از قلم افتادن بخش دوم در جمله مرکب", 'تست کور'!I94="عدم تفکیک رویدادها"), 3, IF('تست کور'!I94="قبولی مشروط (Conditional)", 11, 8)))))</f>
        <v/>
      </c>
      <c r="H94" s="10">
        <f>IF(C94="", "", C94+D94+E94+F94+G94)</f>
        <v/>
      </c>
      <c r="I94" s="12">
        <f>IF(H94="", "در انتظار آزمون", IF(H94&gt;=85, "قبولی ممتاز (Passed)", IF(H94&gt;=70, "قبولی متوسط (Acceptable)", IF(H94&gt;=50, "نیازمند بازآموزی (Retrain)", "مردود (Failed)"))))</f>
        <v/>
      </c>
      <c r="J94" s="12">
        <f>IF('تست کور'!I94="", "تست نشده", 'تست کور'!I94)</f>
        <v/>
      </c>
    </row>
    <row r="95">
      <c r="A95" s="12">
        <f>'تست کور'!A95</f>
        <v/>
      </c>
      <c r="B95" s="12">
        <f>'تست کور'!B95</f>
        <v/>
      </c>
      <c r="C95" s="10">
        <f>IF(OR('تست کور'!I95="", 'تست کور'!I95="امتناع درست — قاعده‌اش در این فاز ساخته نشده"), "", IF('تست کور'!I95="قبولی کامل (Pass)", 25, IF('تست کور'!J95="خطا در تشخیص ماهیت رویداد", 0, IF('تست کور'!I95="قبولی مشروط (Conditional)", 20, 15))))</f>
        <v/>
      </c>
      <c r="D95" s="10">
        <f>IF(OR('تست کور'!I95="", 'تست کور'!I95="امتناع درست — قاعده‌اش در این فاز ساخته نشده"), "", IF('تست کور'!I95="قبولی کامل (Pass)", 25, IF(OR('تست کور'!J95="جابجایی یا اشتباه بدهکار/بستانکار", 'تست کور'!I95="خطا در تشخیص سرفصل"), 0, IF('تست کور'!I95="قبولی مشروط (Conditional)", 18, 10))))</f>
        <v/>
      </c>
      <c r="E95" s="10">
        <f>IF(OR('تست کور'!I95="", 'تست کور'!I95="امتناع درست — قاعده‌اش در این فاز ساخته نشده"), "", IF('تست کور'!I95="قبولی کامل (Pass)", 20, IF(OR('تست کور'!J95="استخراج اشتباه مبلغ یا ارقام", 'تست کور'!I95="خطا در استخراج مبلغ"), 0, IF('تست کور'!I95="قبولی مشروط (Conditional)", 15, 12))))</f>
        <v/>
      </c>
      <c r="F95" s="10">
        <f>IF(OR('تست کور'!I95="", 'تست کور'!I95="امتناع درست — قاعده‌اش در این فاز ساخته نشده"), "", IF('تست کور'!I95="قبولی کامل (Pass)", 15, IF('تست کور'!J95="عدم تشخیص سررسید یا طرف‌حساب", 0, IF('تست کور'!I95="قبولی مشروط (Conditional)", 11, 10))))</f>
        <v/>
      </c>
      <c r="G95" s="10">
        <f>IF(OR('تست کور'!I95="", 'تست کور'!I95="امتناع درست — قاعده‌اش در این فاز ساخته نشده"), "", IF('تست کور'!I95="قبولی کامل (Pass)", 15, IF(OR('تست کور'!J95="عدم طرح سؤال در سناریوی مبهم", 'تست کور'!J95="طرح سؤال تکمیلی غلط و توهم اطلاعات", 'تست کور'!I95="سؤال تکمیلی نامربوط/توهم", 'تست کور'!I95="سکوت اشتباه در ابهام"), 0, IF(OR('تست کور'!J95="از قلم افتادن بخش دوم در جمله مرکب", 'تست کور'!I95="عدم تفکیک رویدادها"), 3, IF('تست کور'!I95="قبولی مشروط (Conditional)", 11, 8)))))</f>
        <v/>
      </c>
      <c r="H95" s="10">
        <f>IF(C95="", "", C95+D95+E95+F95+G95)</f>
        <v/>
      </c>
      <c r="I95" s="12">
        <f>IF(H95="", "در انتظار آزمون", IF(H95&gt;=85, "قبولی ممتاز (Passed)", IF(H95&gt;=70, "قبولی متوسط (Acceptable)", IF(H95&gt;=50, "نیازمند بازآموزی (Retrain)", "مردود (Failed)"))))</f>
        <v/>
      </c>
      <c r="J95" s="12">
        <f>IF('تست کور'!I95="", "تست نشده", 'تست کور'!I95)</f>
        <v/>
      </c>
    </row>
    <row r="96">
      <c r="A96" s="12">
        <f>'تست کور'!A96</f>
        <v/>
      </c>
      <c r="B96" s="12">
        <f>'تست کور'!B96</f>
        <v/>
      </c>
      <c r="C96" s="10">
        <f>IF(OR('تست کور'!I96="", 'تست کور'!I96="امتناع درست — قاعده‌اش در این فاز ساخته نشده"), "", IF('تست کور'!I96="قبولی کامل (Pass)", 25, IF('تست کور'!J96="خطا در تشخیص ماهیت رویداد", 0, IF('تست کور'!I96="قبولی مشروط (Conditional)", 20, 15))))</f>
        <v/>
      </c>
      <c r="D96" s="10">
        <f>IF(OR('تست کور'!I96="", 'تست کور'!I96="امتناع درست — قاعده‌اش در این فاز ساخته نشده"), "", IF('تست کور'!I96="قبولی کامل (Pass)", 25, IF(OR('تست کور'!J96="جابجایی یا اشتباه بدهکار/بستانکار", 'تست کور'!I96="خطا در تشخیص سرفصل"), 0, IF('تست کور'!I96="قبولی مشروط (Conditional)", 18, 10))))</f>
        <v/>
      </c>
      <c r="E96" s="10">
        <f>IF(OR('تست کور'!I96="", 'تست کور'!I96="امتناع درست — قاعده‌اش در این فاز ساخته نشده"), "", IF('تست کور'!I96="قبولی کامل (Pass)", 20, IF(OR('تست کور'!J96="استخراج اشتباه مبلغ یا ارقام", 'تست کور'!I96="خطا در استخراج مبلغ"), 0, IF('تست کور'!I96="قبولی مشروط (Conditional)", 15, 12))))</f>
        <v/>
      </c>
      <c r="F96" s="10">
        <f>IF(OR('تست کور'!I96="", 'تست کور'!I96="امتناع درست — قاعده‌اش در این فاز ساخته نشده"), "", IF('تست کور'!I96="قبولی کامل (Pass)", 15, IF('تست کور'!J96="عدم تشخیص سررسید یا طرف‌حساب", 0, IF('تست کور'!I96="قبولی مشروط (Conditional)", 11, 10))))</f>
        <v/>
      </c>
      <c r="G96" s="10">
        <f>IF(OR('تست کور'!I96="", 'تست کور'!I96="امتناع درست — قاعده‌اش در این فاز ساخته نشده"), "", IF('تست کور'!I96="قبولی کامل (Pass)", 15, IF(OR('تست کور'!J96="عدم طرح سؤال در سناریوی مبهم", 'تست کور'!J96="طرح سؤال تکمیلی غلط و توهم اطلاعات", 'تست کور'!I96="سؤال تکمیلی نامربوط/توهم", 'تست کور'!I96="سکوت اشتباه در ابهام"), 0, IF(OR('تست کور'!J96="از قلم افتادن بخش دوم در جمله مرکب", 'تست کور'!I96="عدم تفکیک رویدادها"), 3, IF('تست کور'!I96="قبولی مشروط (Conditional)", 11, 8)))))</f>
        <v/>
      </c>
      <c r="H96" s="10">
        <f>IF(C96="", "", C96+D96+E96+F96+G96)</f>
        <v/>
      </c>
      <c r="I96" s="12">
        <f>IF(H96="", "در انتظار آزمون", IF(H96&gt;=85, "قبولی ممتاز (Passed)", IF(H96&gt;=70, "قبولی متوسط (Acceptable)", IF(H96&gt;=50, "نیازمند بازآموزی (Retrain)", "مردود (Failed)"))))</f>
        <v/>
      </c>
      <c r="J96" s="12">
        <f>IF('تست کور'!I96="", "تست نشده", 'تست کور'!I96)</f>
        <v/>
      </c>
    </row>
    <row r="97">
      <c r="A97" s="12">
        <f>'تست کور'!A97</f>
        <v/>
      </c>
      <c r="B97" s="12">
        <f>'تست کور'!B97</f>
        <v/>
      </c>
      <c r="C97" s="10">
        <f>IF(OR('تست کور'!I97="", 'تست کور'!I97="امتناع درست — قاعده‌اش در این فاز ساخته نشده"), "", IF('تست کور'!I97="قبولی کامل (Pass)", 25, IF('تست کور'!J97="خطا در تشخیص ماهیت رویداد", 0, IF('تست کور'!I97="قبولی مشروط (Conditional)", 20, 15))))</f>
        <v/>
      </c>
      <c r="D97" s="10">
        <f>IF(OR('تست کور'!I97="", 'تست کور'!I97="امتناع درست — قاعده‌اش در این فاز ساخته نشده"), "", IF('تست کور'!I97="قبولی کامل (Pass)", 25, IF(OR('تست کور'!J97="جابجایی یا اشتباه بدهکار/بستانکار", 'تست کور'!I97="خطا در تشخیص سرفصل"), 0, IF('تست کور'!I97="قبولی مشروط (Conditional)", 18, 10))))</f>
        <v/>
      </c>
      <c r="E97" s="10">
        <f>IF(OR('تست کور'!I97="", 'تست کور'!I97="امتناع درست — قاعده‌اش در این فاز ساخته نشده"), "", IF('تست کور'!I97="قبولی کامل (Pass)", 20, IF(OR('تست کور'!J97="استخراج اشتباه مبلغ یا ارقام", 'تست کور'!I97="خطا در استخراج مبلغ"), 0, IF('تست کور'!I97="قبولی مشروط (Conditional)", 15, 12))))</f>
        <v/>
      </c>
      <c r="F97" s="10">
        <f>IF(OR('تست کور'!I97="", 'تست کور'!I97="امتناع درست — قاعده‌اش در این فاز ساخته نشده"), "", IF('تست کور'!I97="قبولی کامل (Pass)", 15, IF('تست کور'!J97="عدم تشخیص سررسید یا طرف‌حساب", 0, IF('تست کور'!I97="قبولی مشروط (Conditional)", 11, 10))))</f>
        <v/>
      </c>
      <c r="G97" s="10">
        <f>IF(OR('تست کور'!I97="", 'تست کور'!I97="امتناع درست — قاعده‌اش در این فاز ساخته نشده"), "", IF('تست کور'!I97="قبولی کامل (Pass)", 15, IF(OR('تست کور'!J97="عدم طرح سؤال در سناریوی مبهم", 'تست کور'!J97="طرح سؤال تکمیلی غلط و توهم اطلاعات", 'تست کور'!I97="سؤال تکمیلی نامربوط/توهم", 'تست کور'!I97="سکوت اشتباه در ابهام"), 0, IF(OR('تست کور'!J97="از قلم افتادن بخش دوم در جمله مرکب", 'تست کور'!I97="عدم تفکیک رویدادها"), 3, IF('تست کور'!I97="قبولی مشروط (Conditional)", 11, 8)))))</f>
        <v/>
      </c>
      <c r="H97" s="10">
        <f>IF(C97="", "", C97+D97+E97+F97+G97)</f>
        <v/>
      </c>
      <c r="I97" s="12">
        <f>IF(H97="", "در انتظار آزمون", IF(H97&gt;=85, "قبولی ممتاز (Passed)", IF(H97&gt;=70, "قبولی متوسط (Acceptable)", IF(H97&gt;=50, "نیازمند بازآموزی (Retrain)", "مردود (Failed)"))))</f>
        <v/>
      </c>
      <c r="J97" s="12">
        <f>IF('تست کور'!I97="", "تست نشده", 'تست کور'!I97)</f>
        <v/>
      </c>
    </row>
    <row r="98">
      <c r="A98" s="12">
        <f>'تست کور'!A98</f>
        <v/>
      </c>
      <c r="B98" s="12">
        <f>'تست کور'!B98</f>
        <v/>
      </c>
      <c r="C98" s="10">
        <f>IF(OR('تست کور'!I98="", 'تست کور'!I98="امتناع درست — قاعده‌اش در این فاز ساخته نشده"), "", IF('تست کور'!I98="قبولی کامل (Pass)", 25, IF('تست کور'!J98="خطا در تشخیص ماهیت رویداد", 0, IF('تست کور'!I98="قبولی مشروط (Conditional)", 20, 15))))</f>
        <v/>
      </c>
      <c r="D98" s="10">
        <f>IF(OR('تست کور'!I98="", 'تست کور'!I98="امتناع درست — قاعده‌اش در این فاز ساخته نشده"), "", IF('تست کور'!I98="قبولی کامل (Pass)", 25, IF(OR('تست کور'!J98="جابجایی یا اشتباه بدهکار/بستانکار", 'تست کور'!I98="خطا در تشخیص سرفصل"), 0, IF('تست کور'!I98="قبولی مشروط (Conditional)", 18, 10))))</f>
        <v/>
      </c>
      <c r="E98" s="10">
        <f>IF(OR('تست کور'!I98="", 'تست کور'!I98="امتناع درست — قاعده‌اش در این فاز ساخته نشده"), "", IF('تست کور'!I98="قبولی کامل (Pass)", 20, IF(OR('تست کور'!J98="استخراج اشتباه مبلغ یا ارقام", 'تست کور'!I98="خطا در استخراج مبلغ"), 0, IF('تست کور'!I98="قبولی مشروط (Conditional)", 15, 12))))</f>
        <v/>
      </c>
      <c r="F98" s="10">
        <f>IF(OR('تست کور'!I98="", 'تست کور'!I98="امتناع درست — قاعده‌اش در این فاز ساخته نشده"), "", IF('تست کور'!I98="قبولی کامل (Pass)", 15, IF('تست کور'!J98="عدم تشخیص سررسید یا طرف‌حساب", 0, IF('تست کور'!I98="قبولی مشروط (Conditional)", 11, 10))))</f>
        <v/>
      </c>
      <c r="G98" s="10">
        <f>IF(OR('تست کور'!I98="", 'تست کور'!I98="امتناع درست — قاعده‌اش در این فاز ساخته نشده"), "", IF('تست کور'!I98="قبولی کامل (Pass)", 15, IF(OR('تست کور'!J98="عدم طرح سؤال در سناریوی مبهم", 'تست کور'!J98="طرح سؤال تکمیلی غلط و توهم اطلاعات", 'تست کور'!I98="سؤال تکمیلی نامربوط/توهم", 'تست کور'!I98="سکوت اشتباه در ابهام"), 0, IF(OR('تست کور'!J98="از قلم افتادن بخش دوم در جمله مرکب", 'تست کور'!I98="عدم تفکیک رویدادها"), 3, IF('تست کور'!I98="قبولی مشروط (Conditional)", 11, 8)))))</f>
        <v/>
      </c>
      <c r="H98" s="10">
        <f>IF(C98="", "", C98+D98+E98+F98+G98)</f>
        <v/>
      </c>
      <c r="I98" s="12">
        <f>IF(H98="", "در انتظار آزمون", IF(H98&gt;=85, "قبولی ممتاز (Passed)", IF(H98&gt;=70, "قبولی متوسط (Acceptable)", IF(H98&gt;=50, "نیازمند بازآموزی (Retrain)", "مردود (Failed)"))))</f>
        <v/>
      </c>
      <c r="J98" s="12">
        <f>IF('تست کور'!I98="", "تست نشده", 'تست کور'!I98)</f>
        <v/>
      </c>
    </row>
    <row r="99">
      <c r="A99" s="12">
        <f>'تست کور'!A99</f>
        <v/>
      </c>
      <c r="B99" s="12">
        <f>'تست کور'!B99</f>
        <v/>
      </c>
      <c r="C99" s="10">
        <f>IF(OR('تست کور'!I99="", 'تست کور'!I99="امتناع درست — قاعده‌اش در این فاز ساخته نشده"), "", IF('تست کور'!I99="قبولی کامل (Pass)", 25, IF('تست کور'!J99="خطا در تشخیص ماهیت رویداد", 0, IF('تست کور'!I99="قبولی مشروط (Conditional)", 20, 15))))</f>
        <v/>
      </c>
      <c r="D99" s="10">
        <f>IF(OR('تست کور'!I99="", 'تست کور'!I99="امتناع درست — قاعده‌اش در این فاز ساخته نشده"), "", IF('تست کور'!I99="قبولی کامل (Pass)", 25, IF(OR('تست کور'!J99="جابجایی یا اشتباه بدهکار/بستانکار", 'تست کور'!I99="خطا در تشخیص سرفصل"), 0, IF('تست کور'!I99="قبولی مشروط (Conditional)", 18, 10))))</f>
        <v/>
      </c>
      <c r="E99" s="10">
        <f>IF(OR('تست کور'!I99="", 'تست کور'!I99="امتناع درست — قاعده‌اش در این فاز ساخته نشده"), "", IF('تست کور'!I99="قبولی کامل (Pass)", 20, IF(OR('تست کور'!J99="استخراج اشتباه مبلغ یا ارقام", 'تست کور'!I99="خطا در استخراج مبلغ"), 0, IF('تست کور'!I99="قبولی مشروط (Conditional)", 15, 12))))</f>
        <v/>
      </c>
      <c r="F99" s="10">
        <f>IF(OR('تست کور'!I99="", 'تست کور'!I99="امتناع درست — قاعده‌اش در این فاز ساخته نشده"), "", IF('تست کور'!I99="قبولی کامل (Pass)", 15, IF('تست کور'!J99="عدم تشخیص سررسید یا طرف‌حساب", 0, IF('تست کور'!I99="قبولی مشروط (Conditional)", 11, 10))))</f>
        <v/>
      </c>
      <c r="G99" s="10">
        <f>IF(OR('تست کور'!I99="", 'تست کور'!I99="امتناع درست — قاعده‌اش در این فاز ساخته نشده"), "", IF('تست کور'!I99="قبولی کامل (Pass)", 15, IF(OR('تست کور'!J99="عدم طرح سؤال در سناریوی مبهم", 'تست کور'!J99="طرح سؤال تکمیلی غلط و توهم اطلاعات", 'تست کور'!I99="سؤال تکمیلی نامربوط/توهم", 'تست کور'!I99="سکوت اشتباه در ابهام"), 0, IF(OR('تست کور'!J99="از قلم افتادن بخش دوم در جمله مرکب", 'تست کور'!I99="عدم تفکیک رویدادها"), 3, IF('تست کور'!I99="قبولی مشروط (Conditional)", 11, 8)))))</f>
        <v/>
      </c>
      <c r="H99" s="10">
        <f>IF(C99="", "", C99+D99+E99+F99+G99)</f>
        <v/>
      </c>
      <c r="I99" s="12">
        <f>IF(H99="", "در انتظار آزمون", IF(H99&gt;=85, "قبولی ممتاز (Passed)", IF(H99&gt;=70, "قبولی متوسط (Acceptable)", IF(H99&gt;=50, "نیازمند بازآموزی (Retrain)", "مردود (Failed)"))))</f>
        <v/>
      </c>
      <c r="J99" s="12">
        <f>IF('تست کور'!I99="", "تست نشده", 'تست کور'!I99)</f>
        <v/>
      </c>
    </row>
    <row r="100">
      <c r="A100" s="12">
        <f>'تست کور'!A100</f>
        <v/>
      </c>
      <c r="B100" s="12">
        <f>'تست کور'!B100</f>
        <v/>
      </c>
      <c r="C100" s="10">
        <f>IF(OR('تست کور'!I100="", 'تست کور'!I100="امتناع درست — قاعده‌اش در این فاز ساخته نشده"), "", IF('تست کور'!I100="قبولی کامل (Pass)", 25, IF('تست کور'!J100="خطا در تشخیص ماهیت رویداد", 0, IF('تست کور'!I100="قبولی مشروط (Conditional)", 20, 15))))</f>
        <v/>
      </c>
      <c r="D100" s="10">
        <f>IF(OR('تست کور'!I100="", 'تست کور'!I100="امتناع درست — قاعده‌اش در این فاز ساخته نشده"), "", IF('تست کور'!I100="قبولی کامل (Pass)", 25, IF(OR('تست کور'!J100="جابجایی یا اشتباه بدهکار/بستانکار", 'تست کور'!I100="خطا در تشخیص سرفصل"), 0, IF('تست کور'!I100="قبولی مشروط (Conditional)", 18, 10))))</f>
        <v/>
      </c>
      <c r="E100" s="10">
        <f>IF(OR('تست کور'!I100="", 'تست کور'!I100="امتناع درست — قاعده‌اش در این فاز ساخته نشده"), "", IF('تست کور'!I100="قبولی کامل (Pass)", 20, IF(OR('تست کور'!J100="استخراج اشتباه مبلغ یا ارقام", 'تست کور'!I100="خطا در استخراج مبلغ"), 0, IF('تست کور'!I100="قبولی مشروط (Conditional)", 15, 12))))</f>
        <v/>
      </c>
      <c r="F100" s="10">
        <f>IF(OR('تست کور'!I100="", 'تست کور'!I100="امتناع درست — قاعده‌اش در این فاز ساخته نشده"), "", IF('تست کور'!I100="قبولی کامل (Pass)", 15, IF('تست کور'!J100="عدم تشخیص سررسید یا طرف‌حساب", 0, IF('تست کور'!I100="قبولی مشروط (Conditional)", 11, 10))))</f>
        <v/>
      </c>
      <c r="G100" s="10">
        <f>IF(OR('تست کور'!I100="", 'تست کور'!I100="امتناع درست — قاعده‌اش در این فاز ساخته نشده"), "", IF('تست کور'!I100="قبولی کامل (Pass)", 15, IF(OR('تست کور'!J100="عدم طرح سؤال در سناریوی مبهم", 'تست کور'!J100="طرح سؤال تکمیلی غلط و توهم اطلاعات", 'تست کور'!I100="سؤال تکمیلی نامربوط/توهم", 'تست کور'!I100="سکوت اشتباه در ابهام"), 0, IF(OR('تست کور'!J100="از قلم افتادن بخش دوم در جمله مرکب", 'تست کور'!I100="عدم تفکیک رویدادها"), 3, IF('تست کور'!I100="قبولی مشروط (Conditional)", 11, 8)))))</f>
        <v/>
      </c>
      <c r="H100" s="10">
        <f>IF(C100="", "", C100+D100+E100+F100+G100)</f>
        <v/>
      </c>
      <c r="I100" s="12">
        <f>IF(H100="", "در انتظار آزمون", IF(H100&gt;=85, "قبولی ممتاز (Passed)", IF(H100&gt;=70, "قبولی متوسط (Acceptable)", IF(H100&gt;=50, "نیازمند بازآموزی (Retrain)", "مردود (Failed)"))))</f>
        <v/>
      </c>
      <c r="J100" s="12">
        <f>IF('تست کور'!I100="", "تست نشده", 'تست کور'!I100)</f>
        <v/>
      </c>
    </row>
    <row r="101">
      <c r="A101" s="12">
        <f>'تست کور'!A101</f>
        <v/>
      </c>
      <c r="B101" s="12">
        <f>'تست کور'!B101</f>
        <v/>
      </c>
      <c r="C101" s="10">
        <f>IF(OR('تست کور'!I101="", 'تست کور'!I101="امتناع درست — قاعده‌اش در این فاز ساخته نشده"), "", IF('تست کور'!I101="قبولی کامل (Pass)", 25, IF('تست کور'!J101="خطا در تشخیص ماهیت رویداد", 0, IF('تست کور'!I101="قبولی مشروط (Conditional)", 20, 15))))</f>
        <v/>
      </c>
      <c r="D101" s="10">
        <f>IF(OR('تست کور'!I101="", 'تست کور'!I101="امتناع درست — قاعده‌اش در این فاز ساخته نشده"), "", IF('تست کور'!I101="قبولی کامل (Pass)", 25, IF(OR('تست کور'!J101="جابجایی یا اشتباه بدهکار/بستانکار", 'تست کور'!I101="خطا در تشخیص سرفصل"), 0, IF('تست کور'!I101="قبولی مشروط (Conditional)", 18, 10))))</f>
        <v/>
      </c>
      <c r="E101" s="10">
        <f>IF(OR('تست کور'!I101="", 'تست کور'!I101="امتناع درست — قاعده‌اش در این فاز ساخته نشده"), "", IF('تست کور'!I101="قبولی کامل (Pass)", 20, IF(OR('تست کور'!J101="استخراج اشتباه مبلغ یا ارقام", 'تست کور'!I101="خطا در استخراج مبلغ"), 0, IF('تست کور'!I101="قبولی مشروط (Conditional)", 15, 12))))</f>
        <v/>
      </c>
      <c r="F101" s="10">
        <f>IF(OR('تست کور'!I101="", 'تست کور'!I101="امتناع درست — قاعده‌اش در این فاز ساخته نشده"), "", IF('تست کور'!I101="قبولی کامل (Pass)", 15, IF('تست کور'!J101="عدم تشخیص سررسید یا طرف‌حساب", 0, IF('تست کور'!I101="قبولی مشروط (Conditional)", 11, 10))))</f>
        <v/>
      </c>
      <c r="G101" s="10">
        <f>IF(OR('تست کور'!I101="", 'تست کور'!I101="امتناع درست — قاعده‌اش در این فاز ساخته نشده"), "", IF('تست کور'!I101="قبولی کامل (Pass)", 15, IF(OR('تست کور'!J101="عدم طرح سؤال در سناریوی مبهم", 'تست کور'!J101="طرح سؤال تکمیلی غلط و توهم اطلاعات", 'تست کور'!I101="سؤال تکمیلی نامربوط/توهم", 'تست کور'!I101="سکوت اشتباه در ابهام"), 0, IF(OR('تست کور'!J101="از قلم افتادن بخش دوم در جمله مرکب", 'تست کور'!I101="عدم تفکیک رویدادها"), 3, IF('تست کور'!I101="قبولی مشروط (Conditional)", 11, 8)))))</f>
        <v/>
      </c>
      <c r="H101" s="10">
        <f>IF(C101="", "", C101+D101+E101+F101+G101)</f>
        <v/>
      </c>
      <c r="I101" s="12">
        <f>IF(H101="", "در انتظار آزمون", IF(H101&gt;=85, "قبولی ممتاز (Passed)", IF(H101&gt;=70, "قبولی متوسط (Acceptable)", IF(H101&gt;=50, "نیازمند بازآموزی (Retrain)", "مردود (Failed)"))))</f>
        <v/>
      </c>
      <c r="J101" s="12">
        <f>IF('تست کور'!I101="", "تست نشده", 'تست کور'!I101)</f>
        <v/>
      </c>
    </row>
    <row r="102">
      <c r="A102" s="12">
        <f>'تست کور'!A102</f>
        <v/>
      </c>
      <c r="B102" s="12">
        <f>'تست کور'!B102</f>
        <v/>
      </c>
      <c r="C102" s="10">
        <f>IF(OR('تست کور'!I102="", 'تست کور'!I102="امتناع درست — قاعده‌اش در این فاز ساخته نشده"), "", IF('تست کور'!I102="قبولی کامل (Pass)", 25, IF('تست کور'!J102="خطا در تشخیص ماهیت رویداد", 0, IF('تست کور'!I102="قبولی مشروط (Conditional)", 20, 15))))</f>
        <v/>
      </c>
      <c r="D102" s="10">
        <f>IF(OR('تست کور'!I102="", 'تست کور'!I102="امتناع درست — قاعده‌اش در این فاز ساخته نشده"), "", IF('تست کور'!I102="قبولی کامل (Pass)", 25, IF(OR('تست کور'!J102="جابجایی یا اشتباه بدهکار/بستانکار", 'تست کور'!I102="خطا در تشخیص سرفصل"), 0, IF('تست کور'!I102="قبولی مشروط (Conditional)", 18, 10))))</f>
        <v/>
      </c>
      <c r="E102" s="10">
        <f>IF(OR('تست کور'!I102="", 'تست کور'!I102="امتناع درست — قاعده‌اش در این فاز ساخته نشده"), "", IF('تست کور'!I102="قبولی کامل (Pass)", 20, IF(OR('تست کور'!J102="استخراج اشتباه مبلغ یا ارقام", 'تست کور'!I102="خطا در استخراج مبلغ"), 0, IF('تست کور'!I102="قبولی مشروط (Conditional)", 15, 12))))</f>
        <v/>
      </c>
      <c r="F102" s="10">
        <f>IF(OR('تست کور'!I102="", 'تست کور'!I102="امتناع درست — قاعده‌اش در این فاز ساخته نشده"), "", IF('تست کور'!I102="قبولی کامل (Pass)", 15, IF('تست کور'!J102="عدم تشخیص سررسید یا طرف‌حساب", 0, IF('تست کور'!I102="قبولی مشروط (Conditional)", 11, 10))))</f>
        <v/>
      </c>
      <c r="G102" s="10">
        <f>IF(OR('تست کور'!I102="", 'تست کور'!I102="امتناع درست — قاعده‌اش در این فاز ساخته نشده"), "", IF('تست کور'!I102="قبولی کامل (Pass)", 15, IF(OR('تست کور'!J102="عدم طرح سؤال در سناریوی مبهم", 'تست کور'!J102="طرح سؤال تکمیلی غلط و توهم اطلاعات", 'تست کور'!I102="سؤال تکمیلی نامربوط/توهم", 'تست کور'!I102="سکوت اشتباه در ابهام"), 0, IF(OR('تست کور'!J102="از قلم افتادن بخش دوم در جمله مرکب", 'تست کور'!I102="عدم تفکیک رویدادها"), 3, IF('تست کور'!I102="قبولی مشروط (Conditional)", 11, 8)))))</f>
        <v/>
      </c>
      <c r="H102" s="10">
        <f>IF(C102="", "", C102+D102+E102+F102+G102)</f>
        <v/>
      </c>
      <c r="I102" s="12">
        <f>IF(H102="", "در انتظار آزمون", IF(H102&gt;=85, "قبولی ممتاز (Passed)", IF(H102&gt;=70, "قبولی متوسط (Acceptable)", IF(H102&gt;=50, "نیازمند بازآموزی (Retrain)", "مردود (Failed)"))))</f>
        <v/>
      </c>
      <c r="J102" s="12">
        <f>IF('تست کور'!I102="", "تست نشده", 'تست کور'!I102)</f>
        <v/>
      </c>
    </row>
    <row r="103">
      <c r="A103" s="12">
        <f>'تست کور'!A103</f>
        <v/>
      </c>
      <c r="B103" s="12">
        <f>'تست کور'!B103</f>
        <v/>
      </c>
      <c r="C103" s="10">
        <f>IF(OR('تست کور'!I103="", 'تست کور'!I103="امتناع درست — قاعده‌اش در این فاز ساخته نشده"), "", IF('تست کور'!I103="قبولی کامل (Pass)", 25, IF('تست کور'!J103="خطا در تشخیص ماهیت رویداد", 0, IF('تست کور'!I103="قبولی مشروط (Conditional)", 20, 15))))</f>
        <v/>
      </c>
      <c r="D103" s="10">
        <f>IF(OR('تست کور'!I103="", 'تست کور'!I103="امتناع درست — قاعده‌اش در این فاز ساخته نشده"), "", IF('تست کور'!I103="قبولی کامل (Pass)", 25, IF(OR('تست کور'!J103="جابجایی یا اشتباه بدهکار/بستانکار", 'تست کور'!I103="خطا در تشخیص سرفصل"), 0, IF('تست کور'!I103="قبولی مشروط (Conditional)", 18, 10))))</f>
        <v/>
      </c>
      <c r="E103" s="10">
        <f>IF(OR('تست کور'!I103="", 'تست کور'!I103="امتناع درست — قاعده‌اش در این فاز ساخته نشده"), "", IF('تست کور'!I103="قبولی کامل (Pass)", 20, IF(OR('تست کور'!J103="استخراج اشتباه مبلغ یا ارقام", 'تست کور'!I103="خطا در استخراج مبلغ"), 0, IF('تست کور'!I103="قبولی مشروط (Conditional)", 15, 12))))</f>
        <v/>
      </c>
      <c r="F103" s="10">
        <f>IF(OR('تست کور'!I103="", 'تست کور'!I103="امتناع درست — قاعده‌اش در این فاز ساخته نشده"), "", IF('تست کور'!I103="قبولی کامل (Pass)", 15, IF('تست کور'!J103="عدم تشخیص سررسید یا طرف‌حساب", 0, IF('تست کور'!I103="قبولی مشروط (Conditional)", 11, 10))))</f>
        <v/>
      </c>
      <c r="G103" s="10">
        <f>IF(OR('تست کور'!I103="", 'تست کور'!I103="امتناع درست — قاعده‌اش در این فاز ساخته نشده"), "", IF('تست کور'!I103="قبولی کامل (Pass)", 15, IF(OR('تست کور'!J103="عدم طرح سؤال در سناریوی مبهم", 'تست کور'!J103="طرح سؤال تکمیلی غلط و توهم اطلاعات", 'تست کور'!I103="سؤال تکمیلی نامربوط/توهم", 'تست کور'!I103="سکوت اشتباه در ابهام"), 0, IF(OR('تست کور'!J103="از قلم افتادن بخش دوم در جمله مرکب", 'تست کور'!I103="عدم تفکیک رویدادها"), 3, IF('تست کور'!I103="قبولی مشروط (Conditional)", 11, 8)))))</f>
        <v/>
      </c>
      <c r="H103" s="10">
        <f>IF(C103="", "", C103+D103+E103+F103+G103)</f>
        <v/>
      </c>
      <c r="I103" s="12">
        <f>IF(H103="", "در انتظار آزمون", IF(H103&gt;=85, "قبولی ممتاز (Passed)", IF(H103&gt;=70, "قبولی متوسط (Acceptable)", IF(H103&gt;=50, "نیازمند بازآموزی (Retrain)", "مردود (Failed)"))))</f>
        <v/>
      </c>
      <c r="J103" s="12">
        <f>IF('تست کور'!I103="", "تست نشده", 'تست کور'!I103)</f>
        <v/>
      </c>
    </row>
    <row r="104">
      <c r="A104" s="12">
        <f>'تست کور'!A104</f>
        <v/>
      </c>
      <c r="B104" s="12">
        <f>'تست کور'!B104</f>
        <v/>
      </c>
      <c r="C104" s="10">
        <f>IF(OR('تست کور'!I104="", 'تست کور'!I104="امتناع درست — قاعده‌اش در این فاز ساخته نشده"), "", IF('تست کور'!I104="قبولی کامل (Pass)", 25, IF('تست کور'!J104="خطا در تشخیص ماهیت رویداد", 0, IF('تست کور'!I104="قبولی مشروط (Conditional)", 20, 15))))</f>
        <v/>
      </c>
      <c r="D104" s="10">
        <f>IF(OR('تست کور'!I104="", 'تست کور'!I104="امتناع درست — قاعده‌اش در این فاز ساخته نشده"), "", IF('تست کور'!I104="قبولی کامل (Pass)", 25, IF(OR('تست کور'!J104="جابجایی یا اشتباه بدهکار/بستانکار", 'تست کور'!I104="خطا در تشخیص سرفصل"), 0, IF('تست کور'!I104="قبولی مشروط (Conditional)", 18, 10))))</f>
        <v/>
      </c>
      <c r="E104" s="10">
        <f>IF(OR('تست کور'!I104="", 'تست کور'!I104="امتناع درست — قاعده‌اش در این فاز ساخته نشده"), "", IF('تست کور'!I104="قبولی کامل (Pass)", 20, IF(OR('تست کور'!J104="استخراج اشتباه مبلغ یا ارقام", 'تست کور'!I104="خطا در استخراج مبلغ"), 0, IF('تست کور'!I104="قبولی مشروط (Conditional)", 15, 12))))</f>
        <v/>
      </c>
      <c r="F104" s="10">
        <f>IF(OR('تست کور'!I104="", 'تست کور'!I104="امتناع درست — قاعده‌اش در این فاز ساخته نشده"), "", IF('تست کور'!I104="قبولی کامل (Pass)", 15, IF('تست کور'!J104="عدم تشخیص سررسید یا طرف‌حساب", 0, IF('تست کور'!I104="قبولی مشروط (Conditional)", 11, 10))))</f>
        <v/>
      </c>
      <c r="G104" s="10">
        <f>IF(OR('تست کور'!I104="", 'تست کور'!I104="امتناع درست — قاعده‌اش در این فاز ساخته نشده"), "", IF('تست کور'!I104="قبولی کامل (Pass)", 15, IF(OR('تست کور'!J104="عدم طرح سؤال در سناریوی مبهم", 'تست کور'!J104="طرح سؤال تکمیلی غلط و توهم اطلاعات", 'تست کور'!I104="سؤال تکمیلی نامربوط/توهم", 'تست کور'!I104="سکوت اشتباه در ابهام"), 0, IF(OR('تست کور'!J104="از قلم افتادن بخش دوم در جمله مرکب", 'تست کور'!I104="عدم تفکیک رویدادها"), 3, IF('تست کور'!I104="قبولی مشروط (Conditional)", 11, 8)))))</f>
        <v/>
      </c>
      <c r="H104" s="10">
        <f>IF(C104="", "", C104+D104+E104+F104+G104)</f>
        <v/>
      </c>
      <c r="I104" s="12">
        <f>IF(H104="", "در انتظار آزمون", IF(H104&gt;=85, "قبولی ممتاز (Passed)", IF(H104&gt;=70, "قبولی متوسط (Acceptable)", IF(H104&gt;=50, "نیازمند بازآموزی (Retrain)", "مردود (Failed)"))))</f>
        <v/>
      </c>
      <c r="J104" s="12">
        <f>IF('تست کور'!I104="", "تست نشده", 'تست کور'!I104)</f>
        <v/>
      </c>
    </row>
    <row r="105">
      <c r="A105" s="12">
        <f>'تست کور'!A105</f>
        <v/>
      </c>
      <c r="B105" s="12">
        <f>'تست کور'!B105</f>
        <v/>
      </c>
      <c r="C105" s="10">
        <f>IF(OR('تست کور'!I105="", 'تست کور'!I105="امتناع درست — قاعده‌اش در این فاز ساخته نشده"), "", IF('تست کور'!I105="قبولی کامل (Pass)", 25, IF('تست کور'!J105="خطا در تشخیص ماهیت رویداد", 0, IF('تست کور'!I105="قبولی مشروط (Conditional)", 20, 15))))</f>
        <v/>
      </c>
      <c r="D105" s="10">
        <f>IF(OR('تست کور'!I105="", 'تست کور'!I105="امتناع درست — قاعده‌اش در این فاز ساخته نشده"), "", IF('تست کور'!I105="قبولی کامل (Pass)", 25, IF(OR('تست کور'!J105="جابجایی یا اشتباه بدهکار/بستانکار", 'تست کور'!I105="خطا در تشخیص سرفصل"), 0, IF('تست کور'!I105="قبولی مشروط (Conditional)", 18, 10))))</f>
        <v/>
      </c>
      <c r="E105" s="10">
        <f>IF(OR('تست کور'!I105="", 'تست کور'!I105="امتناع درست — قاعده‌اش در این فاز ساخته نشده"), "", IF('تست کور'!I105="قبولی کامل (Pass)", 20, IF(OR('تست کور'!J105="استخراج اشتباه مبلغ یا ارقام", 'تست کور'!I105="خطا در استخراج مبلغ"), 0, IF('تست کور'!I105="قبولی مشروط (Conditional)", 15, 12))))</f>
        <v/>
      </c>
      <c r="F105" s="10">
        <f>IF(OR('تست کور'!I105="", 'تست کور'!I105="امتناع درست — قاعده‌اش در این فاز ساخته نشده"), "", IF('تست کور'!I105="قبولی کامل (Pass)", 15, IF('تست کور'!J105="عدم تشخیص سررسید یا طرف‌حساب", 0, IF('تست کور'!I105="قبولی مشروط (Conditional)", 11, 10))))</f>
        <v/>
      </c>
      <c r="G105" s="10">
        <f>IF(OR('تست کور'!I105="", 'تست کور'!I105="امتناع درست — قاعده‌اش در این فاز ساخته نشده"), "", IF('تست کور'!I105="قبولی کامل (Pass)", 15, IF(OR('تست کور'!J105="عدم طرح سؤال در سناریوی مبهم", 'تست کور'!J105="طرح سؤال تکمیلی غلط و توهم اطلاعات", 'تست کور'!I105="سؤال تکمیلی نامربوط/توهم", 'تست کور'!I105="سکوت اشتباه در ابهام"), 0, IF(OR('تست کور'!J105="از قلم افتادن بخش دوم در جمله مرکب", 'تست کور'!I105="عدم تفکیک رویدادها"), 3, IF('تست کور'!I105="قبولی مشروط (Conditional)", 11, 8)))))</f>
        <v/>
      </c>
      <c r="H105" s="10">
        <f>IF(C105="", "", C105+D105+E105+F105+G105)</f>
        <v/>
      </c>
      <c r="I105" s="12">
        <f>IF(H105="", "در انتظار آزمون", IF(H105&gt;=85, "قبولی ممتاز (Passed)", IF(H105&gt;=70, "قبولی متوسط (Acceptable)", IF(H105&gt;=50, "نیازمند بازآموزی (Retrain)", "مردود (Failed)"))))</f>
        <v/>
      </c>
      <c r="J105" s="12">
        <f>IF('تست کور'!I105="", "تست نشده", 'تست کور'!I105)</f>
        <v/>
      </c>
    </row>
    <row r="106">
      <c r="A106" s="12">
        <f>'تست کور'!A106</f>
        <v/>
      </c>
      <c r="B106" s="12">
        <f>'تست کور'!B106</f>
        <v/>
      </c>
      <c r="C106" s="10">
        <f>IF(OR('تست کور'!I106="", 'تست کور'!I106="امتناع درست — قاعده‌اش در این فاز ساخته نشده"), "", IF('تست کور'!I106="قبولی کامل (Pass)", 25, IF('تست کور'!J106="خطا در تشخیص ماهیت رویداد", 0, IF('تست کور'!I106="قبولی مشروط (Conditional)", 20, 15))))</f>
        <v/>
      </c>
      <c r="D106" s="10">
        <f>IF(OR('تست کور'!I106="", 'تست کور'!I106="امتناع درست — قاعده‌اش در این فاز ساخته نشده"), "", IF('تست کور'!I106="قبولی کامل (Pass)", 25, IF(OR('تست کور'!J106="جابجایی یا اشتباه بدهکار/بستانکار", 'تست کور'!I106="خطا در تشخیص سرفصل"), 0, IF('تست کور'!I106="قبولی مشروط (Conditional)", 18, 10))))</f>
        <v/>
      </c>
      <c r="E106" s="10">
        <f>IF(OR('تست کور'!I106="", 'تست کور'!I106="امتناع درست — قاعده‌اش در این فاز ساخته نشده"), "", IF('تست کور'!I106="قبولی کامل (Pass)", 20, IF(OR('تست کور'!J106="استخراج اشتباه مبلغ یا ارقام", 'تست کور'!I106="خطا در استخراج مبلغ"), 0, IF('تست کور'!I106="قبولی مشروط (Conditional)", 15, 12))))</f>
        <v/>
      </c>
      <c r="F106" s="10">
        <f>IF(OR('تست کور'!I106="", 'تست کور'!I106="امتناع درست — قاعده‌اش در این فاز ساخته نشده"), "", IF('تست کور'!I106="قبولی کامل (Pass)", 15, IF('تست کور'!J106="عدم تشخیص سررسید یا طرف‌حساب", 0, IF('تست کور'!I106="قبولی مشروط (Conditional)", 11, 10))))</f>
        <v/>
      </c>
      <c r="G106" s="10">
        <f>IF(OR('تست کور'!I106="", 'تست کور'!I106="امتناع درست — قاعده‌اش در این فاز ساخته نشده"), "", IF('تست کور'!I106="قبولی کامل (Pass)", 15, IF(OR('تست کور'!J106="عدم طرح سؤال در سناریوی مبهم", 'تست کور'!J106="طرح سؤال تکمیلی غلط و توهم اطلاعات", 'تست کور'!I106="سؤال تکمیلی نامربوط/توهم", 'تست کور'!I106="سکوت اشتباه در ابهام"), 0, IF(OR('تست کور'!J106="از قلم افتادن بخش دوم در جمله مرکب", 'تست کور'!I106="عدم تفکیک رویدادها"), 3, IF('تست کور'!I106="قبولی مشروط (Conditional)", 11, 8)))))</f>
        <v/>
      </c>
      <c r="H106" s="10">
        <f>IF(C106="", "", C106+D106+E106+F106+G106)</f>
        <v/>
      </c>
      <c r="I106" s="12">
        <f>IF(H106="", "در انتظار آزمون", IF(H106&gt;=85, "قبولی ممتاز (Passed)", IF(H106&gt;=70, "قبولی متوسط (Acceptable)", IF(H106&gt;=50, "نیازمند بازآموزی (Retrain)", "مردود (Failed)"))))</f>
        <v/>
      </c>
      <c r="J106" s="12">
        <f>IF('تست کور'!I106="", "تست نشده", 'تست کور'!I106)</f>
        <v/>
      </c>
    </row>
    <row r="107">
      <c r="A107" s="12">
        <f>'تست کور'!A107</f>
        <v/>
      </c>
      <c r="B107" s="12">
        <f>'تست کور'!B107</f>
        <v/>
      </c>
      <c r="C107" s="10">
        <f>IF(OR('تست کور'!I107="", 'تست کور'!I107="امتناع درست — قاعده‌اش در این فاز ساخته نشده"), "", IF('تست کور'!I107="قبولی کامل (Pass)", 25, IF('تست کور'!J107="خطا در تشخیص ماهیت رویداد", 0, IF('تست کور'!I107="قبولی مشروط (Conditional)", 20, 15))))</f>
        <v/>
      </c>
      <c r="D107" s="10">
        <f>IF(OR('تست کور'!I107="", 'تست کور'!I107="امتناع درست — قاعده‌اش در این فاز ساخته نشده"), "", IF('تست کور'!I107="قبولی کامل (Pass)", 25, IF(OR('تست کور'!J107="جابجایی یا اشتباه بدهکار/بستانکار", 'تست کور'!I107="خطا در تشخیص سرفصل"), 0, IF('تست کور'!I107="قبولی مشروط (Conditional)", 18, 10))))</f>
        <v/>
      </c>
      <c r="E107" s="10">
        <f>IF(OR('تست کور'!I107="", 'تست کور'!I107="امتناع درست — قاعده‌اش در این فاز ساخته نشده"), "", IF('تست کور'!I107="قبولی کامل (Pass)", 20, IF(OR('تست کور'!J107="استخراج اشتباه مبلغ یا ارقام", 'تست کور'!I107="خطا در استخراج مبلغ"), 0, IF('تست کور'!I107="قبولی مشروط (Conditional)", 15, 12))))</f>
        <v/>
      </c>
      <c r="F107" s="10">
        <f>IF(OR('تست کور'!I107="", 'تست کور'!I107="امتناع درست — قاعده‌اش در این فاز ساخته نشده"), "", IF('تست کور'!I107="قبولی کامل (Pass)", 15, IF('تست کور'!J107="عدم تشخیص سررسید یا طرف‌حساب", 0, IF('تست کور'!I107="قبولی مشروط (Conditional)", 11, 10))))</f>
        <v/>
      </c>
      <c r="G107" s="10">
        <f>IF(OR('تست کور'!I107="", 'تست کور'!I107="امتناع درست — قاعده‌اش در این فاز ساخته نشده"), "", IF('تست کور'!I107="قبولی کامل (Pass)", 15, IF(OR('تست کور'!J107="عدم طرح سؤال در سناریوی مبهم", 'تست کور'!J107="طرح سؤال تکمیلی غلط و توهم اطلاعات", 'تست کور'!I107="سؤال تکمیلی نامربوط/توهم", 'تست کور'!I107="سکوت اشتباه در ابهام"), 0, IF(OR('تست کور'!J107="از قلم افتادن بخش دوم در جمله مرکب", 'تست کور'!I107="عدم تفکیک رویدادها"), 3, IF('تست کور'!I107="قبولی مشروط (Conditional)", 11, 8)))))</f>
        <v/>
      </c>
      <c r="H107" s="10">
        <f>IF(C107="", "", C107+D107+E107+F107+G107)</f>
        <v/>
      </c>
      <c r="I107" s="12">
        <f>IF(H107="", "در انتظار آزمون", IF(H107&gt;=85, "قبولی ممتاز (Passed)", IF(H107&gt;=70, "قبولی متوسط (Acceptable)", IF(H107&gt;=50, "نیازمند بازآموزی (Retrain)", "مردود (Failed)"))))</f>
        <v/>
      </c>
      <c r="J107" s="12">
        <f>IF('تست کور'!I107="", "تست نشده", 'تست کور'!I107)</f>
        <v/>
      </c>
    </row>
    <row r="108">
      <c r="A108" s="12">
        <f>'تست کور'!A108</f>
        <v/>
      </c>
      <c r="B108" s="12">
        <f>'تست کور'!B108</f>
        <v/>
      </c>
      <c r="C108" s="10">
        <f>IF(OR('تست کور'!I108="", 'تست کور'!I108="امتناع درست — قاعده‌اش در این فاز ساخته نشده"), "", IF('تست کور'!I108="قبولی کامل (Pass)", 25, IF('تست کور'!J108="خطا در تشخیص ماهیت رویداد", 0, IF('تست کور'!I108="قبولی مشروط (Conditional)", 20, 15))))</f>
        <v/>
      </c>
      <c r="D108" s="10">
        <f>IF(OR('تست کور'!I108="", 'تست کور'!I108="امتناع درست — قاعده‌اش در این فاز ساخته نشده"), "", IF('تست کور'!I108="قبولی کامل (Pass)", 25, IF(OR('تست کور'!J108="جابجایی یا اشتباه بدهکار/بستانکار", 'تست کور'!I108="خطا در تشخیص سرفصل"), 0, IF('تست کور'!I108="قبولی مشروط (Conditional)", 18, 10))))</f>
        <v/>
      </c>
      <c r="E108" s="10">
        <f>IF(OR('تست کور'!I108="", 'تست کور'!I108="امتناع درست — قاعده‌اش در این فاز ساخته نشده"), "", IF('تست کور'!I108="قبولی کامل (Pass)", 20, IF(OR('تست کور'!J108="استخراج اشتباه مبلغ یا ارقام", 'تست کور'!I108="خطا در استخراج مبلغ"), 0, IF('تست کور'!I108="قبولی مشروط (Conditional)", 15, 12))))</f>
        <v/>
      </c>
      <c r="F108" s="10">
        <f>IF(OR('تست کور'!I108="", 'تست کور'!I108="امتناع درست — قاعده‌اش در این فاز ساخته نشده"), "", IF('تست کور'!I108="قبولی کامل (Pass)", 15, IF('تست کور'!J108="عدم تشخیص سررسید یا طرف‌حساب", 0, IF('تست کور'!I108="قبولی مشروط (Conditional)", 11, 10))))</f>
        <v/>
      </c>
      <c r="G108" s="10">
        <f>IF(OR('تست کور'!I108="", 'تست کور'!I108="امتناع درست — قاعده‌اش در این فاز ساخته نشده"), "", IF('تست کور'!I108="قبولی کامل (Pass)", 15, IF(OR('تست کور'!J108="عدم طرح سؤال در سناریوی مبهم", 'تست کور'!J108="طرح سؤال تکمیلی غلط و توهم اطلاعات", 'تست کور'!I108="سؤال تکمیلی نامربوط/توهم", 'تست کور'!I108="سکوت اشتباه در ابهام"), 0, IF(OR('تست کور'!J108="از قلم افتادن بخش دوم در جمله مرکب", 'تست کور'!I108="عدم تفکیک رویدادها"), 3, IF('تست کور'!I108="قبولی مشروط (Conditional)", 11, 8)))))</f>
        <v/>
      </c>
      <c r="H108" s="10">
        <f>IF(C108="", "", C108+D108+E108+F108+G108)</f>
        <v/>
      </c>
      <c r="I108" s="12">
        <f>IF(H108="", "در انتظار آزمون", IF(H108&gt;=85, "قبولی ممتاز (Passed)", IF(H108&gt;=70, "قبولی متوسط (Acceptable)", IF(H108&gt;=50, "نیازمند بازآموزی (Retrain)", "مردود (Failed)"))))</f>
        <v/>
      </c>
      <c r="J108" s="12">
        <f>IF('تست کور'!I108="", "تست نشده", 'تست کور'!I108)</f>
        <v/>
      </c>
    </row>
    <row r="109">
      <c r="A109" s="12">
        <f>'تست کور'!A109</f>
        <v/>
      </c>
      <c r="B109" s="12">
        <f>'تست کور'!B109</f>
        <v/>
      </c>
      <c r="C109" s="10">
        <f>IF(OR('تست کور'!I109="", 'تست کور'!I109="امتناع درست — قاعده‌اش در این فاز ساخته نشده"), "", IF('تست کور'!I109="قبولی کامل (Pass)", 25, IF('تست کور'!J109="خطا در تشخیص ماهیت رویداد", 0, IF('تست کور'!I109="قبولی مشروط (Conditional)", 20, 15))))</f>
        <v/>
      </c>
      <c r="D109" s="10">
        <f>IF(OR('تست کور'!I109="", 'تست کور'!I109="امتناع درست — قاعده‌اش در این فاز ساخته نشده"), "", IF('تست کور'!I109="قبولی کامل (Pass)", 25, IF(OR('تست کور'!J109="جابجایی یا اشتباه بدهکار/بستانکار", 'تست کور'!I109="خطا در تشخیص سرفصل"), 0, IF('تست کور'!I109="قبولی مشروط (Conditional)", 18, 10))))</f>
        <v/>
      </c>
      <c r="E109" s="10">
        <f>IF(OR('تست کور'!I109="", 'تست کور'!I109="امتناع درست — قاعده‌اش در این فاز ساخته نشده"), "", IF('تست کور'!I109="قبولی کامل (Pass)", 20, IF(OR('تست کور'!J109="استخراج اشتباه مبلغ یا ارقام", 'تست کور'!I109="خطا در استخراج مبلغ"), 0, IF('تست کور'!I109="قبولی مشروط (Conditional)", 15, 12))))</f>
        <v/>
      </c>
      <c r="F109" s="10">
        <f>IF(OR('تست کور'!I109="", 'تست کور'!I109="امتناع درست — قاعده‌اش در این فاز ساخته نشده"), "", IF('تست کور'!I109="قبولی کامل (Pass)", 15, IF('تست کور'!J109="عدم تشخیص سررسید یا طرف‌حساب", 0, IF('تست کور'!I109="قبولی مشروط (Conditional)", 11, 10))))</f>
        <v/>
      </c>
      <c r="G109" s="10">
        <f>IF(OR('تست کور'!I109="", 'تست کور'!I109="امتناع درست — قاعده‌اش در این فاز ساخته نشده"), "", IF('تست کور'!I109="قبولی کامل (Pass)", 15, IF(OR('تست کور'!J109="عدم طرح سؤال در سناریوی مبهم", 'تست کور'!J109="طرح سؤال تکمیلی غلط و توهم اطلاعات", 'تست کور'!I109="سؤال تکمیلی نامربوط/توهم", 'تست کور'!I109="سکوت اشتباه در ابهام"), 0, IF(OR('تست کور'!J109="از قلم افتادن بخش دوم در جمله مرکب", 'تست کور'!I109="عدم تفکیک رویدادها"), 3, IF('تست کور'!I109="قبولی مشروط (Conditional)", 11, 8)))))</f>
        <v/>
      </c>
      <c r="H109" s="10">
        <f>IF(C109="", "", C109+D109+E109+F109+G109)</f>
        <v/>
      </c>
      <c r="I109" s="12">
        <f>IF(H109="", "در انتظار آزمون", IF(H109&gt;=85, "قبولی ممتاز (Passed)", IF(H109&gt;=70, "قبولی متوسط (Acceptable)", IF(H109&gt;=50, "نیازمند بازآموزی (Retrain)", "مردود (Failed)"))))</f>
        <v/>
      </c>
      <c r="J109" s="12">
        <f>IF('تست کور'!I109="", "تست نشده", 'تست کور'!I109)</f>
        <v/>
      </c>
    </row>
    <row r="110">
      <c r="A110" s="12">
        <f>'تست کور'!A110</f>
        <v/>
      </c>
      <c r="B110" s="12">
        <f>'تست کور'!B110</f>
        <v/>
      </c>
      <c r="C110" s="10">
        <f>IF(OR('تست کور'!I110="", 'تست کور'!I110="امتناع درست — قاعده‌اش در این فاز ساخته نشده"), "", IF('تست کور'!I110="قبولی کامل (Pass)", 25, IF('تست کور'!J110="خطا در تشخیص ماهیت رویداد", 0, IF('تست کور'!I110="قبولی مشروط (Conditional)", 20, 15))))</f>
        <v/>
      </c>
      <c r="D110" s="10">
        <f>IF(OR('تست کور'!I110="", 'تست کور'!I110="امتناع درست — قاعده‌اش در این فاز ساخته نشده"), "", IF('تست کور'!I110="قبولی کامل (Pass)", 25, IF(OR('تست کور'!J110="جابجایی یا اشتباه بدهکار/بستانکار", 'تست کور'!I110="خطا در تشخیص سرفصل"), 0, IF('تست کور'!I110="قبولی مشروط (Conditional)", 18, 10))))</f>
        <v/>
      </c>
      <c r="E110" s="10">
        <f>IF(OR('تست کور'!I110="", 'تست کور'!I110="امتناع درست — قاعده‌اش در این فاز ساخته نشده"), "", IF('تست کور'!I110="قبولی کامل (Pass)", 20, IF(OR('تست کور'!J110="استخراج اشتباه مبلغ یا ارقام", 'تست کور'!I110="خطا در استخراج مبلغ"), 0, IF('تست کور'!I110="قبولی مشروط (Conditional)", 15, 12))))</f>
        <v/>
      </c>
      <c r="F110" s="10">
        <f>IF(OR('تست کور'!I110="", 'تست کور'!I110="امتناع درست — قاعده‌اش در این فاز ساخته نشده"), "", IF('تست کور'!I110="قبولی کامل (Pass)", 15, IF('تست کور'!J110="عدم تشخیص سررسید یا طرف‌حساب", 0, IF('تست کور'!I110="قبولی مشروط (Conditional)", 11, 10))))</f>
        <v/>
      </c>
      <c r="G110" s="10">
        <f>IF(OR('تست کور'!I110="", 'تست کور'!I110="امتناع درست — قاعده‌اش در این فاز ساخته نشده"), "", IF('تست کور'!I110="قبولی کامل (Pass)", 15, IF(OR('تست کور'!J110="عدم طرح سؤال در سناریوی مبهم", 'تست کور'!J110="طرح سؤال تکمیلی غلط و توهم اطلاعات", 'تست کور'!I110="سؤال تکمیلی نامربوط/توهم", 'تست کور'!I110="سکوت اشتباه در ابهام"), 0, IF(OR('تست کور'!J110="از قلم افتادن بخش دوم در جمله مرکب", 'تست کور'!I110="عدم تفکیک رویدادها"), 3, IF('تست کور'!I110="قبولی مشروط (Conditional)", 11, 8)))))</f>
        <v/>
      </c>
      <c r="H110" s="10">
        <f>IF(C110="", "", C110+D110+E110+F110+G110)</f>
        <v/>
      </c>
      <c r="I110" s="12">
        <f>IF(H110="", "در انتظار آزمون", IF(H110&gt;=85, "قبولی ممتاز (Passed)", IF(H110&gt;=70, "قبولی متوسط (Acceptable)", IF(H110&gt;=50, "نیازمند بازآموزی (Retrain)", "مردود (Failed)"))))</f>
        <v/>
      </c>
      <c r="J110" s="12">
        <f>IF('تست کور'!I110="", "تست نشده", 'تست کور'!I110)</f>
        <v/>
      </c>
    </row>
    <row r="111">
      <c r="A111" s="12">
        <f>'تست کور'!A111</f>
        <v/>
      </c>
      <c r="B111" s="12">
        <f>'تست کور'!B111</f>
        <v/>
      </c>
      <c r="C111" s="10">
        <f>IF(OR('تست کور'!I111="", 'تست کور'!I111="امتناع درست — قاعده‌اش در این فاز ساخته نشده"), "", IF('تست کور'!I111="قبولی کامل (Pass)", 25, IF('تست کور'!J111="خطا در تشخیص ماهیت رویداد", 0, IF('تست کور'!I111="قبولی مشروط (Conditional)", 20, 15))))</f>
        <v/>
      </c>
      <c r="D111" s="10">
        <f>IF(OR('تست کور'!I111="", 'تست کور'!I111="امتناع درست — قاعده‌اش در این فاز ساخته نشده"), "", IF('تست کور'!I111="قبولی کامل (Pass)", 25, IF(OR('تست کور'!J111="جابجایی یا اشتباه بدهکار/بستانکار", 'تست کور'!I111="خطا در تشخیص سرفصل"), 0, IF('تست کور'!I111="قبولی مشروط (Conditional)", 18, 10))))</f>
        <v/>
      </c>
      <c r="E111" s="10">
        <f>IF(OR('تست کور'!I111="", 'تست کور'!I111="امتناع درست — قاعده‌اش در این فاز ساخته نشده"), "", IF('تست کور'!I111="قبولی کامل (Pass)", 20, IF(OR('تست کور'!J111="استخراج اشتباه مبلغ یا ارقام", 'تست کور'!I111="خطا در استخراج مبلغ"), 0, IF('تست کور'!I111="قبولی مشروط (Conditional)", 15, 12))))</f>
        <v/>
      </c>
      <c r="F111" s="10">
        <f>IF(OR('تست کور'!I111="", 'تست کور'!I111="امتناع درست — قاعده‌اش در این فاز ساخته نشده"), "", IF('تست کور'!I111="قبولی کامل (Pass)", 15, IF('تست کور'!J111="عدم تشخیص سررسید یا طرف‌حساب", 0, IF('تست کور'!I111="قبولی مشروط (Conditional)", 11, 10))))</f>
        <v/>
      </c>
      <c r="G111" s="10">
        <f>IF(OR('تست کور'!I111="", 'تست کور'!I111="امتناع درست — قاعده‌اش در این فاز ساخته نشده"), "", IF('تست کور'!I111="قبولی کامل (Pass)", 15, IF(OR('تست کور'!J111="عدم طرح سؤال در سناریوی مبهم", 'تست کور'!J111="طرح سؤال تکمیلی غلط و توهم اطلاعات", 'تست کور'!I111="سؤال تکمیلی نامربوط/توهم", 'تست کور'!I111="سکوت اشتباه در ابهام"), 0, IF(OR('تست کور'!J111="از قلم افتادن بخش دوم در جمله مرکب", 'تست کور'!I111="عدم تفکیک رویدادها"), 3, IF('تست کور'!I111="قبولی مشروط (Conditional)", 11, 8)))))</f>
        <v/>
      </c>
      <c r="H111" s="10">
        <f>IF(C111="", "", C111+D111+E111+F111+G111)</f>
        <v/>
      </c>
      <c r="I111" s="12">
        <f>IF(H111="", "در انتظار آزمون", IF(H111&gt;=85, "قبولی ممتاز (Passed)", IF(H111&gt;=70, "قبولی متوسط (Acceptable)", IF(H111&gt;=50, "نیازمند بازآموزی (Retrain)", "مردود (Failed)"))))</f>
        <v/>
      </c>
      <c r="J111" s="12">
        <f>IF('تست کور'!I111="", "تست نشده", 'تست کور'!I111)</f>
        <v/>
      </c>
    </row>
    <row r="112">
      <c r="A112" s="12">
        <f>'تست کور'!A112</f>
        <v/>
      </c>
      <c r="B112" s="12">
        <f>'تست کور'!B112</f>
        <v/>
      </c>
      <c r="C112" s="10">
        <f>IF(OR('تست کور'!I112="", 'تست کور'!I112="امتناع درست — قاعده‌اش در این فاز ساخته نشده"), "", IF('تست کور'!I112="قبولی کامل (Pass)", 25, IF('تست کور'!J112="خطا در تشخیص ماهیت رویداد", 0, IF('تست کور'!I112="قبولی مشروط (Conditional)", 20, 15))))</f>
        <v/>
      </c>
      <c r="D112" s="10">
        <f>IF(OR('تست کور'!I112="", 'تست کور'!I112="امتناع درست — قاعده‌اش در این فاز ساخته نشده"), "", IF('تست کور'!I112="قبولی کامل (Pass)", 25, IF(OR('تست کور'!J112="جابجایی یا اشتباه بدهکار/بستانکار", 'تست کور'!I112="خطا در تشخیص سرفصل"), 0, IF('تست کور'!I112="قبولی مشروط (Conditional)", 18, 10))))</f>
        <v/>
      </c>
      <c r="E112" s="10">
        <f>IF(OR('تست کور'!I112="", 'تست کور'!I112="امتناع درست — قاعده‌اش در این فاز ساخته نشده"), "", IF('تست کور'!I112="قبولی کامل (Pass)", 20, IF(OR('تست کور'!J112="استخراج اشتباه مبلغ یا ارقام", 'تست کور'!I112="خطا در استخراج مبلغ"), 0, IF('تست کور'!I112="قبولی مشروط (Conditional)", 15, 12))))</f>
        <v/>
      </c>
      <c r="F112" s="10">
        <f>IF(OR('تست کور'!I112="", 'تست کور'!I112="امتناع درست — قاعده‌اش در این فاز ساخته نشده"), "", IF('تست کور'!I112="قبولی کامل (Pass)", 15, IF('تست کور'!J112="عدم تشخیص سررسید یا طرف‌حساب", 0, IF('تست کور'!I112="قبولی مشروط (Conditional)", 11, 10))))</f>
        <v/>
      </c>
      <c r="G112" s="10">
        <f>IF(OR('تست کور'!I112="", 'تست کور'!I112="امتناع درست — قاعده‌اش در این فاز ساخته نشده"), "", IF('تست کور'!I112="قبولی کامل (Pass)", 15, IF(OR('تست کور'!J112="عدم طرح سؤال در سناریوی مبهم", 'تست کور'!J112="طرح سؤال تکمیلی غلط و توهم اطلاعات", 'تست کور'!I112="سؤال تکمیلی نامربوط/توهم", 'تست کور'!I112="سکوت اشتباه در ابهام"), 0, IF(OR('تست کور'!J112="از قلم افتادن بخش دوم در جمله مرکب", 'تست کور'!I112="عدم تفکیک رویدادها"), 3, IF('تست کور'!I112="قبولی مشروط (Conditional)", 11, 8)))))</f>
        <v/>
      </c>
      <c r="H112" s="10">
        <f>IF(C112="", "", C112+D112+E112+F112+G112)</f>
        <v/>
      </c>
      <c r="I112" s="12">
        <f>IF(H112="", "در انتظار آزمون", IF(H112&gt;=85, "قبولی ممتاز (Passed)", IF(H112&gt;=70, "قبولی متوسط (Acceptable)", IF(H112&gt;=50, "نیازمند بازآموزی (Retrain)", "مردود (Failed)"))))</f>
        <v/>
      </c>
      <c r="J112" s="12">
        <f>IF('تست کور'!I112="", "تست نشده", 'تست کور'!I112)</f>
        <v/>
      </c>
    </row>
    <row r="113">
      <c r="A113" s="12">
        <f>'تست کور'!A113</f>
        <v/>
      </c>
      <c r="B113" s="12">
        <f>'تست کور'!B113</f>
        <v/>
      </c>
      <c r="C113" s="10">
        <f>IF(OR('تست کور'!I113="", 'تست کور'!I113="امتناع درست — قاعده‌اش در این فاز ساخته نشده"), "", IF('تست کور'!I113="قبولی کامل (Pass)", 25, IF('تست کور'!J113="خطا در تشخیص ماهیت رویداد", 0, IF('تست کور'!I113="قبولی مشروط (Conditional)", 20, 15))))</f>
        <v/>
      </c>
      <c r="D113" s="10">
        <f>IF(OR('تست کور'!I113="", 'تست کور'!I113="امتناع درست — قاعده‌اش در این فاز ساخته نشده"), "", IF('تست کور'!I113="قبولی کامل (Pass)", 25, IF(OR('تست کور'!J113="جابجایی یا اشتباه بدهکار/بستانکار", 'تست کور'!I113="خطا در تشخیص سرفصل"), 0, IF('تست کور'!I113="قبولی مشروط (Conditional)", 18, 10))))</f>
        <v/>
      </c>
      <c r="E113" s="10">
        <f>IF(OR('تست کور'!I113="", 'تست کور'!I113="امتناع درست — قاعده‌اش در این فاز ساخته نشده"), "", IF('تست کور'!I113="قبولی کامل (Pass)", 20, IF(OR('تست کور'!J113="استخراج اشتباه مبلغ یا ارقام", 'تست کور'!I113="خطا در استخراج مبلغ"), 0, IF('تست کور'!I113="قبولی مشروط (Conditional)", 15, 12))))</f>
        <v/>
      </c>
      <c r="F113" s="10">
        <f>IF(OR('تست کور'!I113="", 'تست کور'!I113="امتناع درست — قاعده‌اش در این فاز ساخته نشده"), "", IF('تست کور'!I113="قبولی کامل (Pass)", 15, IF('تست کور'!J113="عدم تشخیص سررسید یا طرف‌حساب", 0, IF('تست کور'!I113="قبولی مشروط (Conditional)", 11, 10))))</f>
        <v/>
      </c>
      <c r="G113" s="10">
        <f>IF(OR('تست کور'!I113="", 'تست کور'!I113="امتناع درست — قاعده‌اش در این فاز ساخته نشده"), "", IF('تست کور'!I113="قبولی کامل (Pass)", 15, IF(OR('تست کور'!J113="عدم طرح سؤال در سناریوی مبهم", 'تست کور'!J113="طرح سؤال تکمیلی غلط و توهم اطلاعات", 'تست کور'!I113="سؤال تکمیلی نامربوط/توهم", 'تست کور'!I113="سکوت اشتباه در ابهام"), 0, IF(OR('تست کور'!J113="از قلم افتادن بخش دوم در جمله مرکب", 'تست کور'!I113="عدم تفکیک رویدادها"), 3, IF('تست کور'!I113="قبولی مشروط (Conditional)", 11, 8)))))</f>
        <v/>
      </c>
      <c r="H113" s="10">
        <f>IF(C113="", "", C113+D113+E113+F113+G113)</f>
        <v/>
      </c>
      <c r="I113" s="12">
        <f>IF(H113="", "در انتظار آزمون", IF(H113&gt;=85, "قبولی ممتاز (Passed)", IF(H113&gt;=70, "قبولی متوسط (Acceptable)", IF(H113&gt;=50, "نیازمند بازآموزی (Retrain)", "مردود (Failed)"))))</f>
        <v/>
      </c>
      <c r="J113" s="12">
        <f>IF('تست کور'!I113="", "تست نشده", 'تست کور'!I113)</f>
        <v/>
      </c>
    </row>
    <row r="114">
      <c r="A114" s="12">
        <f>'تست کور'!A114</f>
        <v/>
      </c>
      <c r="B114" s="12">
        <f>'تست کور'!B114</f>
        <v/>
      </c>
      <c r="C114" s="10">
        <f>IF(OR('تست کور'!I114="", 'تست کور'!I114="امتناع درست — قاعده‌اش در این فاز ساخته نشده"), "", IF('تست کور'!I114="قبولی کامل (Pass)", 25, IF('تست کور'!J114="خطا در تشخیص ماهیت رویداد", 0, IF('تست کور'!I114="قبولی مشروط (Conditional)", 20, 15))))</f>
        <v/>
      </c>
      <c r="D114" s="10">
        <f>IF(OR('تست کور'!I114="", 'تست کور'!I114="امتناع درست — قاعده‌اش در این فاز ساخته نشده"), "", IF('تست کور'!I114="قبولی کامل (Pass)", 25, IF(OR('تست کور'!J114="جابجایی یا اشتباه بدهکار/بستانکار", 'تست کور'!I114="خطا در تشخیص سرفصل"), 0, IF('تست کور'!I114="قبولی مشروط (Conditional)", 18, 10))))</f>
        <v/>
      </c>
      <c r="E114" s="10">
        <f>IF(OR('تست کور'!I114="", 'تست کور'!I114="امتناع درست — قاعده‌اش در این فاز ساخته نشده"), "", IF('تست کور'!I114="قبولی کامل (Pass)", 20, IF(OR('تست کور'!J114="استخراج اشتباه مبلغ یا ارقام", 'تست کور'!I114="خطا در استخراج مبلغ"), 0, IF('تست کور'!I114="قبولی مشروط (Conditional)", 15, 12))))</f>
        <v/>
      </c>
      <c r="F114" s="10">
        <f>IF(OR('تست کور'!I114="", 'تست کور'!I114="امتناع درست — قاعده‌اش در این فاز ساخته نشده"), "", IF('تست کور'!I114="قبولی کامل (Pass)", 15, IF('تست کور'!J114="عدم تشخیص سررسید یا طرف‌حساب", 0, IF('تست کور'!I114="قبولی مشروط (Conditional)", 11, 10))))</f>
        <v/>
      </c>
      <c r="G114" s="10">
        <f>IF(OR('تست کور'!I114="", 'تست کور'!I114="امتناع درست — قاعده‌اش در این فاز ساخته نشده"), "", IF('تست کور'!I114="قبولی کامل (Pass)", 15, IF(OR('تست کور'!J114="عدم طرح سؤال در سناریوی مبهم", 'تست کور'!J114="طرح سؤال تکمیلی غلط و توهم اطلاعات", 'تست کور'!I114="سؤال تکمیلی نامربوط/توهم", 'تست کور'!I114="سکوت اشتباه در ابهام"), 0, IF(OR('تست کور'!J114="از قلم افتادن بخش دوم در جمله مرکب", 'تست کور'!I114="عدم تفکیک رویدادها"), 3, IF('تست کور'!I114="قبولی مشروط (Conditional)", 11, 8)))))</f>
        <v/>
      </c>
      <c r="H114" s="10">
        <f>IF(C114="", "", C114+D114+E114+F114+G114)</f>
        <v/>
      </c>
      <c r="I114" s="12">
        <f>IF(H114="", "در انتظار آزمون", IF(H114&gt;=85, "قبولی ممتاز (Passed)", IF(H114&gt;=70, "قبولی متوسط (Acceptable)", IF(H114&gt;=50, "نیازمند بازآموزی (Retrain)", "مردود (Failed)"))))</f>
        <v/>
      </c>
      <c r="J114" s="12">
        <f>IF('تست کور'!I114="", "تست نشده", 'تست کور'!I114)</f>
        <v/>
      </c>
    </row>
    <row r="115">
      <c r="A115" s="12">
        <f>'تست کور'!A115</f>
        <v/>
      </c>
      <c r="B115" s="12">
        <f>'تست کور'!B115</f>
        <v/>
      </c>
      <c r="C115" s="10">
        <f>IF(OR('تست کور'!I115="", 'تست کور'!I115="امتناع درست — قاعده‌اش در این فاز ساخته نشده"), "", IF('تست کور'!I115="قبولی کامل (Pass)", 25, IF('تست کور'!J115="خطا در تشخیص ماهیت رویداد", 0, IF('تست کور'!I115="قبولی مشروط (Conditional)", 20, 15))))</f>
        <v/>
      </c>
      <c r="D115" s="10">
        <f>IF(OR('تست کور'!I115="", 'تست کور'!I115="امتناع درست — قاعده‌اش در این فاز ساخته نشده"), "", IF('تست کور'!I115="قبولی کامل (Pass)", 25, IF(OR('تست کور'!J115="جابجایی یا اشتباه بدهکار/بستانکار", 'تست کور'!I115="خطا در تشخیص سرفصل"), 0, IF('تست کور'!I115="قبولی مشروط (Conditional)", 18, 10))))</f>
        <v/>
      </c>
      <c r="E115" s="10">
        <f>IF(OR('تست کور'!I115="", 'تست کور'!I115="امتناع درست — قاعده‌اش در این فاز ساخته نشده"), "", IF('تست کور'!I115="قبولی کامل (Pass)", 20, IF(OR('تست کور'!J115="استخراج اشتباه مبلغ یا ارقام", 'تست کور'!I115="خطا در استخراج مبلغ"), 0, IF('تست کور'!I115="قبولی مشروط (Conditional)", 15, 12))))</f>
        <v/>
      </c>
      <c r="F115" s="10">
        <f>IF(OR('تست کور'!I115="", 'تست کور'!I115="امتناع درست — قاعده‌اش در این فاز ساخته نشده"), "", IF('تست کور'!I115="قبولی کامل (Pass)", 15, IF('تست کور'!J115="عدم تشخیص سررسید یا طرف‌حساب", 0, IF('تست کور'!I115="قبولی مشروط (Conditional)", 11, 10))))</f>
        <v/>
      </c>
      <c r="G115" s="10">
        <f>IF(OR('تست کور'!I115="", 'تست کور'!I115="امتناع درست — قاعده‌اش در این فاز ساخته نشده"), "", IF('تست کور'!I115="قبولی کامل (Pass)", 15, IF(OR('تست کور'!J115="عدم طرح سؤال در سناریوی مبهم", 'تست کور'!J115="طرح سؤال تکمیلی غلط و توهم اطلاعات", 'تست کور'!I115="سؤال تکمیلی نامربوط/توهم", 'تست کور'!I115="سکوت اشتباه در ابهام"), 0, IF(OR('تست کور'!J115="از قلم افتادن بخش دوم در جمله مرکب", 'تست کور'!I115="عدم تفکیک رویدادها"), 3, IF('تست کور'!I115="قبولی مشروط (Conditional)", 11, 8)))))</f>
        <v/>
      </c>
      <c r="H115" s="10">
        <f>IF(C115="", "", C115+D115+E115+F115+G115)</f>
        <v/>
      </c>
      <c r="I115" s="12">
        <f>IF(H115="", "در انتظار آزمون", IF(H115&gt;=85, "قبولی ممتاز (Passed)", IF(H115&gt;=70, "قبولی متوسط (Acceptable)", IF(H115&gt;=50, "نیازمند بازآموزی (Retrain)", "مردود (Failed)"))))</f>
        <v/>
      </c>
      <c r="J115" s="12">
        <f>IF('تست کور'!I115="", "تست نشده", 'تست کور'!I115)</f>
        <v/>
      </c>
    </row>
    <row r="116">
      <c r="A116" s="12">
        <f>'تست کور'!A116</f>
        <v/>
      </c>
      <c r="B116" s="12">
        <f>'تست کور'!B116</f>
        <v/>
      </c>
      <c r="C116" s="10">
        <f>IF(OR('تست کور'!I116="", 'تست کور'!I116="امتناع درست — قاعده‌اش در این فاز ساخته نشده"), "", IF('تست کور'!I116="قبولی کامل (Pass)", 25, IF('تست کور'!J116="خطا در تشخیص ماهیت رویداد", 0, IF('تست کور'!I116="قبولی مشروط (Conditional)", 20, 15))))</f>
        <v/>
      </c>
      <c r="D116" s="10">
        <f>IF(OR('تست کور'!I116="", 'تست کور'!I116="امتناع درست — قاعده‌اش در این فاز ساخته نشده"), "", IF('تست کور'!I116="قبولی کامل (Pass)", 25, IF(OR('تست کور'!J116="جابجایی یا اشتباه بدهکار/بستانکار", 'تست کور'!I116="خطا در تشخیص سرفصل"), 0, IF('تست کور'!I116="قبولی مشروط (Conditional)", 18, 10))))</f>
        <v/>
      </c>
      <c r="E116" s="10">
        <f>IF(OR('تست کور'!I116="", 'تست کور'!I116="امتناع درست — قاعده‌اش در این فاز ساخته نشده"), "", IF('تست کور'!I116="قبولی کامل (Pass)", 20, IF(OR('تست کور'!J116="استخراج اشتباه مبلغ یا ارقام", 'تست کور'!I116="خطا در استخراج مبلغ"), 0, IF('تست کور'!I116="قبولی مشروط (Conditional)", 15, 12))))</f>
        <v/>
      </c>
      <c r="F116" s="10">
        <f>IF(OR('تست کور'!I116="", 'تست کور'!I116="امتناع درست — قاعده‌اش در این فاز ساخته نشده"), "", IF('تست کور'!I116="قبولی کامل (Pass)", 15, IF('تست کور'!J116="عدم تشخیص سررسید یا طرف‌حساب", 0, IF('تست کور'!I116="قبولی مشروط (Conditional)", 11, 10))))</f>
        <v/>
      </c>
      <c r="G116" s="10">
        <f>IF(OR('تست کور'!I116="", 'تست کور'!I116="امتناع درست — قاعده‌اش در این فاز ساخته نشده"), "", IF('تست کور'!I116="قبولی کامل (Pass)", 15, IF(OR('تست کور'!J116="عدم طرح سؤال در سناریوی مبهم", 'تست کور'!J116="طرح سؤال تکمیلی غلط و توهم اطلاعات", 'تست کور'!I116="سؤال تکمیلی نامربوط/توهم", 'تست کور'!I116="سکوت اشتباه در ابهام"), 0, IF(OR('تست کور'!J116="از قلم افتادن بخش دوم در جمله مرکب", 'تست کور'!I116="عدم تفکیک رویدادها"), 3, IF('تست کور'!I116="قبولی مشروط (Conditional)", 11, 8)))))</f>
        <v/>
      </c>
      <c r="H116" s="10">
        <f>IF(C116="", "", C116+D116+E116+F116+G116)</f>
        <v/>
      </c>
      <c r="I116" s="12">
        <f>IF(H116="", "در انتظار آزمون", IF(H116&gt;=85, "قبولی ممتاز (Passed)", IF(H116&gt;=70, "قبولی متوسط (Acceptable)", IF(H116&gt;=50, "نیازمند بازآموزی (Retrain)", "مردود (Failed)"))))</f>
        <v/>
      </c>
      <c r="J116" s="12">
        <f>IF('تست کور'!I116="", "تست نشده", 'تست کور'!I116)</f>
        <v/>
      </c>
    </row>
    <row r="117">
      <c r="A117" s="12">
        <f>'تست کور'!A117</f>
        <v/>
      </c>
      <c r="B117" s="12">
        <f>'تست کور'!B117</f>
        <v/>
      </c>
      <c r="C117" s="10">
        <f>IF(OR('تست کور'!I117="", 'تست کور'!I117="امتناع درست — قاعده‌اش در این فاز ساخته نشده"), "", IF('تست کور'!I117="قبولی کامل (Pass)", 25, IF('تست کور'!J117="خطا در تشخیص ماهیت رویداد", 0, IF('تست کور'!I117="قبولی مشروط (Conditional)", 20, 15))))</f>
        <v/>
      </c>
      <c r="D117" s="10">
        <f>IF(OR('تست کور'!I117="", 'تست کور'!I117="امتناع درست — قاعده‌اش در این فاز ساخته نشده"), "", IF('تست کور'!I117="قبولی کامل (Pass)", 25, IF(OR('تست کور'!J117="جابجایی یا اشتباه بدهکار/بستانکار", 'تست کور'!I117="خطا در تشخیص سرفصل"), 0, IF('تست کور'!I117="قبولی مشروط (Conditional)", 18, 10))))</f>
        <v/>
      </c>
      <c r="E117" s="10">
        <f>IF(OR('تست کور'!I117="", 'تست کور'!I117="امتناع درست — قاعده‌اش در این فاز ساخته نشده"), "", IF('تست کور'!I117="قبولی کامل (Pass)", 20, IF(OR('تست کور'!J117="استخراج اشتباه مبلغ یا ارقام", 'تست کور'!I117="خطا در استخراج مبلغ"), 0, IF('تست کور'!I117="قبولی مشروط (Conditional)", 15, 12))))</f>
        <v/>
      </c>
      <c r="F117" s="10">
        <f>IF(OR('تست کور'!I117="", 'تست کور'!I117="امتناع درست — قاعده‌اش در این فاز ساخته نشده"), "", IF('تست کور'!I117="قبولی کامل (Pass)", 15, IF('تست کور'!J117="عدم تشخیص سررسید یا طرف‌حساب", 0, IF('تست کور'!I117="قبولی مشروط (Conditional)", 11, 10))))</f>
        <v/>
      </c>
      <c r="G117" s="10">
        <f>IF(OR('تست کور'!I117="", 'تست کور'!I117="امتناع درست — قاعده‌اش در این فاز ساخته نشده"), "", IF('تست کور'!I117="قبولی کامل (Pass)", 15, IF(OR('تست کور'!J117="عدم طرح سؤال در سناریوی مبهم", 'تست کور'!J117="طرح سؤال تکمیلی غلط و توهم اطلاعات", 'تست کور'!I117="سؤال تکمیلی نامربوط/توهم", 'تست کور'!I117="سکوت اشتباه در ابهام"), 0, IF(OR('تست کور'!J117="از قلم افتادن بخش دوم در جمله مرکب", 'تست کور'!I117="عدم تفکیک رویدادها"), 3, IF('تست کور'!I117="قبولی مشروط (Conditional)", 11, 8)))))</f>
        <v/>
      </c>
      <c r="H117" s="10">
        <f>IF(C117="", "", C117+D117+E117+F117+G117)</f>
        <v/>
      </c>
      <c r="I117" s="12">
        <f>IF(H117="", "در انتظار آزمون", IF(H117&gt;=85, "قبولی ممتاز (Passed)", IF(H117&gt;=70, "قبولی متوسط (Acceptable)", IF(H117&gt;=50, "نیازمند بازآموزی (Retrain)", "مردود (Failed)"))))</f>
        <v/>
      </c>
      <c r="J117" s="12">
        <f>IF('تست کور'!I117="", "تست نشده", 'تست کور'!I117)</f>
        <v/>
      </c>
    </row>
    <row r="118">
      <c r="A118" s="12">
        <f>'تست کور'!A118</f>
        <v/>
      </c>
      <c r="B118" s="12">
        <f>'تست کور'!B118</f>
        <v/>
      </c>
      <c r="C118" s="10">
        <f>IF(OR('تست کور'!I118="", 'تست کور'!I118="امتناع درست — قاعده‌اش در این فاز ساخته نشده"), "", IF('تست کور'!I118="قبولی کامل (Pass)", 25, IF('تست کور'!J118="خطا در تشخیص ماهیت رویداد", 0, IF('تست کور'!I118="قبولی مشروط (Conditional)", 20, 15))))</f>
        <v/>
      </c>
      <c r="D118" s="10">
        <f>IF(OR('تست کور'!I118="", 'تست کور'!I118="امتناع درست — قاعده‌اش در این فاز ساخته نشده"), "", IF('تست کور'!I118="قبولی کامل (Pass)", 25, IF(OR('تست کور'!J118="جابجایی یا اشتباه بدهکار/بستانکار", 'تست کور'!I118="خطا در تشخیص سرفصل"), 0, IF('تست کور'!I118="قبولی مشروط (Conditional)", 18, 10))))</f>
        <v/>
      </c>
      <c r="E118" s="10">
        <f>IF(OR('تست کور'!I118="", 'تست کور'!I118="امتناع درست — قاعده‌اش در این فاز ساخته نشده"), "", IF('تست کور'!I118="قبولی کامل (Pass)", 20, IF(OR('تست کور'!J118="استخراج اشتباه مبلغ یا ارقام", 'تست کور'!I118="خطا در استخراج مبلغ"), 0, IF('تست کور'!I118="قبولی مشروط (Conditional)", 15, 12))))</f>
        <v/>
      </c>
      <c r="F118" s="10">
        <f>IF(OR('تست کور'!I118="", 'تست کور'!I118="امتناع درست — قاعده‌اش در این فاز ساخته نشده"), "", IF('تست کور'!I118="قبولی کامل (Pass)", 15, IF('تست کور'!J118="عدم تشخیص سررسید یا طرف‌حساب", 0, IF('تست کور'!I118="قبولی مشروط (Conditional)", 11, 10))))</f>
        <v/>
      </c>
      <c r="G118" s="10">
        <f>IF(OR('تست کور'!I118="", 'تست کور'!I118="امتناع درست — قاعده‌اش در این فاز ساخته نشده"), "", IF('تست کور'!I118="قبولی کامل (Pass)", 15, IF(OR('تست کور'!J118="عدم طرح سؤال در سناریوی مبهم", 'تست کور'!J118="طرح سؤال تکمیلی غلط و توهم اطلاعات", 'تست کور'!I118="سؤال تکمیلی نامربوط/توهم", 'تست کور'!I118="سکوت اشتباه در ابهام"), 0, IF(OR('تست کور'!J118="از قلم افتادن بخش دوم در جمله مرکب", 'تست کور'!I118="عدم تفکیک رویدادها"), 3, IF('تست کور'!I118="قبولی مشروط (Conditional)", 11, 8)))))</f>
        <v/>
      </c>
      <c r="H118" s="10">
        <f>IF(C118="", "", C118+D118+E118+F118+G118)</f>
        <v/>
      </c>
      <c r="I118" s="12">
        <f>IF(H118="", "در انتظار آزمون", IF(H118&gt;=85, "قبولی ممتاز (Passed)", IF(H118&gt;=70, "قبولی متوسط (Acceptable)", IF(H118&gt;=50, "نیازمند بازآموزی (Retrain)", "مردود (Failed)"))))</f>
        <v/>
      </c>
      <c r="J118" s="12">
        <f>IF('تست کور'!I118="", "تست نشده", 'تست کور'!I118)</f>
        <v/>
      </c>
    </row>
    <row r="119">
      <c r="A119" s="12">
        <f>'تست کور'!A119</f>
        <v/>
      </c>
      <c r="B119" s="12">
        <f>'تست کور'!B119</f>
        <v/>
      </c>
      <c r="C119" s="10">
        <f>IF(OR('تست کور'!I119="", 'تست کور'!I119="امتناع درست — قاعده‌اش در این فاز ساخته نشده"), "", IF('تست کور'!I119="قبولی کامل (Pass)", 25, IF('تست کور'!J119="خطا در تشخیص ماهیت رویداد", 0, IF('تست کور'!I119="قبولی مشروط (Conditional)", 20, 15))))</f>
        <v/>
      </c>
      <c r="D119" s="10">
        <f>IF(OR('تست کور'!I119="", 'تست کور'!I119="امتناع درست — قاعده‌اش در این فاز ساخته نشده"), "", IF('تست کور'!I119="قبولی کامل (Pass)", 25, IF(OR('تست کور'!J119="جابجایی یا اشتباه بدهکار/بستانکار", 'تست کور'!I119="خطا در تشخیص سرفصل"), 0, IF('تست کور'!I119="قبولی مشروط (Conditional)", 18, 10))))</f>
        <v/>
      </c>
      <c r="E119" s="10">
        <f>IF(OR('تست کور'!I119="", 'تست کور'!I119="امتناع درست — قاعده‌اش در این فاز ساخته نشده"), "", IF('تست کور'!I119="قبولی کامل (Pass)", 20, IF(OR('تست کور'!J119="استخراج اشتباه مبلغ یا ارقام", 'تست کور'!I119="خطا در استخراج مبلغ"), 0, IF('تست کور'!I119="قبولی مشروط (Conditional)", 15, 12))))</f>
        <v/>
      </c>
      <c r="F119" s="10">
        <f>IF(OR('تست کور'!I119="", 'تست کور'!I119="امتناع درست — قاعده‌اش در این فاز ساخته نشده"), "", IF('تست کور'!I119="قبولی کامل (Pass)", 15, IF('تست کور'!J119="عدم تشخیص سررسید یا طرف‌حساب", 0, IF('تست کور'!I119="قبولی مشروط (Conditional)", 11, 10))))</f>
        <v/>
      </c>
      <c r="G119" s="10">
        <f>IF(OR('تست کور'!I119="", 'تست کور'!I119="امتناع درست — قاعده‌اش در این فاز ساخته نشده"), "", IF('تست کور'!I119="قبولی کامل (Pass)", 15, IF(OR('تست کور'!J119="عدم طرح سؤال در سناریوی مبهم", 'تست کور'!J119="طرح سؤال تکمیلی غلط و توهم اطلاعات", 'تست کور'!I119="سؤال تکمیلی نامربوط/توهم", 'تست کور'!I119="سکوت اشتباه در ابهام"), 0, IF(OR('تست کور'!J119="از قلم افتادن بخش دوم در جمله مرکب", 'تست کور'!I119="عدم تفکیک رویدادها"), 3, IF('تست کور'!I119="قبولی مشروط (Conditional)", 11, 8)))))</f>
        <v/>
      </c>
      <c r="H119" s="10">
        <f>IF(C119="", "", C119+D119+E119+F119+G119)</f>
        <v/>
      </c>
      <c r="I119" s="12">
        <f>IF(H119="", "در انتظار آزمون", IF(H119&gt;=85, "قبولی ممتاز (Passed)", IF(H119&gt;=70, "قبولی متوسط (Acceptable)", IF(H119&gt;=50, "نیازمند بازآموزی (Retrain)", "مردود (Failed)"))))</f>
        <v/>
      </c>
      <c r="J119" s="12">
        <f>IF('تست کور'!I119="", "تست نشده", 'تست کور'!I119)</f>
        <v/>
      </c>
    </row>
    <row r="120">
      <c r="A120" s="12">
        <f>'تست کور'!A120</f>
        <v/>
      </c>
      <c r="B120" s="12">
        <f>'تست کور'!B120</f>
        <v/>
      </c>
      <c r="C120" s="10">
        <f>IF(OR('تست کور'!I120="", 'تست کور'!I120="امتناع درست — قاعده‌اش در این فاز ساخته نشده"), "", IF('تست کور'!I120="قبولی کامل (Pass)", 25, IF('تست کور'!J120="خطا در تشخیص ماهیت رویداد", 0, IF('تست کور'!I120="قبولی مشروط (Conditional)", 20, 15))))</f>
        <v/>
      </c>
      <c r="D120" s="10">
        <f>IF(OR('تست کور'!I120="", 'تست کور'!I120="امتناع درست — قاعده‌اش در این فاز ساخته نشده"), "", IF('تست کور'!I120="قبولی کامل (Pass)", 25, IF(OR('تست کور'!J120="جابجایی یا اشتباه بدهکار/بستانکار", 'تست کور'!I120="خطا در تشخیص سرفصل"), 0, IF('تست کور'!I120="قبولی مشروط (Conditional)", 18, 10))))</f>
        <v/>
      </c>
      <c r="E120" s="10">
        <f>IF(OR('تست کور'!I120="", 'تست کور'!I120="امتناع درست — قاعده‌اش در این فاز ساخته نشده"), "", IF('تست کور'!I120="قبولی کامل (Pass)", 20, IF(OR('تست کور'!J120="استخراج اشتباه مبلغ یا ارقام", 'تست کور'!I120="خطا در استخراج مبلغ"), 0, IF('تست کور'!I120="قبولی مشروط (Conditional)", 15, 12))))</f>
        <v/>
      </c>
      <c r="F120" s="10">
        <f>IF(OR('تست کور'!I120="", 'تست کور'!I120="امتناع درست — قاعده‌اش در این فاز ساخته نشده"), "", IF('تست کور'!I120="قبولی کامل (Pass)", 15, IF('تست کور'!J120="عدم تشخیص سررسید یا طرف‌حساب", 0, IF('تست کور'!I120="قبولی مشروط (Conditional)", 11, 10))))</f>
        <v/>
      </c>
      <c r="G120" s="10">
        <f>IF(OR('تست کور'!I120="", 'تست کور'!I120="امتناع درست — قاعده‌اش در این فاز ساخته نشده"), "", IF('تست کور'!I120="قبولی کامل (Pass)", 15, IF(OR('تست کور'!J120="عدم طرح سؤال در سناریوی مبهم", 'تست کور'!J120="طرح سؤال تکمیلی غلط و توهم اطلاعات", 'تست کور'!I120="سؤال تکمیلی نامربوط/توهم", 'تست کور'!I120="سکوت اشتباه در ابهام"), 0, IF(OR('تست کور'!J120="از قلم افتادن بخش دوم در جمله مرکب", 'تست کور'!I120="عدم تفکیک رویدادها"), 3, IF('تست کور'!I120="قبولی مشروط (Conditional)", 11, 8)))))</f>
        <v/>
      </c>
      <c r="H120" s="10">
        <f>IF(C120="", "", C120+D120+E120+F120+G120)</f>
        <v/>
      </c>
      <c r="I120" s="12">
        <f>IF(H120="", "در انتظار آزمون", IF(H120&gt;=85, "قبولی ممتاز (Passed)", IF(H120&gt;=70, "قبولی متوسط (Acceptable)", IF(H120&gt;=50, "نیازمند بازآموزی (Retrain)", "مردود (Failed)"))))</f>
        <v/>
      </c>
      <c r="J120" s="12">
        <f>IF('تست کور'!I120="", "تست نشده", 'تست کور'!I120)</f>
        <v/>
      </c>
    </row>
    <row r="121">
      <c r="A121" s="12">
        <f>'تست کور'!A121</f>
        <v/>
      </c>
      <c r="B121" s="12">
        <f>'تست کور'!B121</f>
        <v/>
      </c>
      <c r="C121" s="10">
        <f>IF(OR('تست کور'!I121="", 'تست کور'!I121="امتناع درست — قاعده‌اش در این فاز ساخته نشده"), "", IF('تست کور'!I121="قبولی کامل (Pass)", 25, IF('تست کور'!J121="خطا در تشخیص ماهیت رویداد", 0, IF('تست کور'!I121="قبولی مشروط (Conditional)", 20, 15))))</f>
        <v/>
      </c>
      <c r="D121" s="10">
        <f>IF(OR('تست کور'!I121="", 'تست کور'!I121="امتناع درست — قاعده‌اش در این فاز ساخته نشده"), "", IF('تست کور'!I121="قبولی کامل (Pass)", 25, IF(OR('تست کور'!J121="جابجایی یا اشتباه بدهکار/بستانکار", 'تست کور'!I121="خطا در تشخیص سرفصل"), 0, IF('تست کور'!I121="قبولی مشروط (Conditional)", 18, 10))))</f>
        <v/>
      </c>
      <c r="E121" s="10">
        <f>IF(OR('تست کور'!I121="", 'تست کور'!I121="امتناع درست — قاعده‌اش در این فاز ساخته نشده"), "", IF('تست کور'!I121="قبولی کامل (Pass)", 20, IF(OR('تست کور'!J121="استخراج اشتباه مبلغ یا ارقام", 'تست کور'!I121="خطا در استخراج مبلغ"), 0, IF('تست کور'!I121="قبولی مشروط (Conditional)", 15, 12))))</f>
        <v/>
      </c>
      <c r="F121" s="10">
        <f>IF(OR('تست کور'!I121="", 'تست کور'!I121="امتناع درست — قاعده‌اش در این فاز ساخته نشده"), "", IF('تست کور'!I121="قبولی کامل (Pass)", 15, IF('تست کور'!J121="عدم تشخیص سررسید یا طرف‌حساب", 0, IF('تست کور'!I121="قبولی مشروط (Conditional)", 11, 10))))</f>
        <v/>
      </c>
      <c r="G121" s="10">
        <f>IF(OR('تست کور'!I121="", 'تست کور'!I121="امتناع درست — قاعده‌اش در این فاز ساخته نشده"), "", IF('تست کور'!I121="قبولی کامل (Pass)", 15, IF(OR('تست کور'!J121="عدم طرح سؤال در سناریوی مبهم", 'تست کور'!J121="طرح سؤال تکمیلی غلط و توهم اطلاعات", 'تست کور'!I121="سؤال تکمیلی نامربوط/توهم", 'تست کور'!I121="سکوت اشتباه در ابهام"), 0, IF(OR('تست کور'!J121="از قلم افتادن بخش دوم در جمله مرکب", 'تست کور'!I121="عدم تفکیک رویدادها"), 3, IF('تست کور'!I121="قبولی مشروط (Conditional)", 11, 8)))))</f>
        <v/>
      </c>
      <c r="H121" s="10">
        <f>IF(C121="", "", C121+D121+E121+F121+G121)</f>
        <v/>
      </c>
      <c r="I121" s="12">
        <f>IF(H121="", "در انتظار آزمون", IF(H121&gt;=85, "قبولی ممتاز (Passed)", IF(H121&gt;=70, "قبولی متوسط (Acceptable)", IF(H121&gt;=50, "نیازمند بازآموزی (Retrain)", "مردود (Failed)"))))</f>
        <v/>
      </c>
      <c r="J121" s="12">
        <f>IF('تست کور'!I121="", "تست نشده", 'تست کور'!I121)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2"/>
  <sheetViews>
    <sheetView rightToLeft="1"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5.75" customWidth="1" style="45" min="1" max="1"/>
    <col width="33.88" customWidth="1" style="45" min="2" max="2"/>
    <col width="10.75" customWidth="1" style="45" min="3" max="4"/>
    <col width="12" customWidth="1" style="45" min="5" max="5"/>
    <col width="13.88" customWidth="1" style="45" min="6" max="6"/>
    <col width="3.88" customWidth="1" style="45" min="7" max="7"/>
    <col width="5.75" customWidth="1" style="45" min="8" max="8"/>
    <col width="32.63" customWidth="1" style="45" min="9" max="9"/>
    <col width="10.75" customWidth="1" style="45" min="10" max="10"/>
    <col width="12" customWidth="1" style="45" min="11" max="11"/>
    <col width="22.63" customWidth="1" style="45" min="12" max="12"/>
  </cols>
  <sheetData>
    <row r="1">
      <c r="A1" s="17" t="inlineStr">
        <is>
          <t>داشبورد ارزیابی جامع استرس‌تست و رگرشن موتور هوش مصنوعی حساب‌یار (۱۲۰ سناریوی بازار ایران)</t>
        </is>
      </c>
    </row>
    <row r="2">
      <c r="A2" s="18" t="inlineStr">
        <is>
          <t>طراحی شده بر مبنای استانداردهای حسابداری و مقررات مالیاتی ایران | پایش پیوسته صحت استخراج دوبل، مبالغ و مدیریت ابهام</t>
        </is>
      </c>
    </row>
    <row r="4">
      <c r="A4" s="19" t="inlineStr">
        <is>
          <t>کل سناریوهای استرس‌تست</t>
        </is>
      </c>
      <c r="C4" s="19" t="inlineStr">
        <is>
          <t>نرخ موفقیت کل (Pass Rate)</t>
        </is>
      </c>
      <c r="E4" s="19" t="inlineStr">
        <is>
          <t>نرخ مدیریت موفق ابهام</t>
        </is>
      </c>
      <c r="G4" s="19" t="inlineStr">
        <is>
          <t>تفکیک رویدادهای مرکب</t>
        </is>
      </c>
      <c r="I4" s="19" t="inlineStr">
        <is>
          <t>میانگین نمره هوش مصنوعی</t>
        </is>
      </c>
    </row>
    <row r="5">
      <c r="A5" s="20">
        <f>COUNTA('تست کور'!$A$2:$A$121)</f>
        <v/>
      </c>
      <c r="C5" s="21">
        <f>IF(COUNTA('تست کور'!$I$2:$I$121)=0, 0, (COUNTIF('تست کور'!$I$2:$I$121, "قبولی کامل (Pass)") + 0.5*COUNTIF('تست کور'!$I$2:$I$121, "قبولی مشروط (Conditional)")) / COUNTA('تست کور'!$I$2:$I$121))</f>
        <v/>
      </c>
      <c r="E5" s="21">
        <f>IF(COUNTIFS('تست کور'!$F$2:$F$121, "بله", 'تست کور'!$I$2:$I$121, "&lt;&gt;")=0, 0, COUNTIFS('تست کور'!$F$2:$F$121, "بله", 'تست کور'!$I$2:$I$121, "قبولی کامل (Pass)") / COUNTIFS('تست کور'!$F$2:$F$121, "بله", 'تست کور'!$I$2:$I$121, "&lt;&gt;"))</f>
        <v/>
      </c>
      <c r="G5" s="21">
        <f>IF(COUNTIFS('تست کور'!$E$2:$E$121, "چندرویدادی مرکب", 'تست کور'!$I$2:$I$121, "&lt;&gt;")=0, 0, COUNTIFS('تست کور'!$E$2:$E$121, "چندرویدادی مرکب", 'تست کور'!$I$2:$I$121, "قبولی کامل (Pass)") / COUNTIFS('تست کور'!$E$2:$E$121, "چندرویدادی مرکب", 'تست کور'!$I$2:$I$121, "&lt;&gt;"))</f>
        <v/>
      </c>
      <c r="I5" s="22">
        <f>IFERROR(AVERAGE('نتایج تست و امتیازدهی'!$H$2:$H$121), 0)</f>
        <v/>
      </c>
    </row>
    <row r="6">
      <c r="A6" s="23">
        <f>"تست شده: " &amp; COUNTA('تست کور'!$I$2:$I$121) &amp; " از ۱۲۰"</f>
        <v/>
      </c>
      <c r="C6" s="23">
        <f>"قبولی قطعی: " &amp; COUNTIF('تست کور'!$I$2:$I$121, "قبولی کامل (Pass)")</f>
        <v/>
      </c>
      <c r="E6" s="23">
        <f>"از ۳۴ سناریوی مبهم"</f>
        <v/>
      </c>
      <c r="G6" s="23">
        <f>"از ۲۳ سناریوی مرکب"</f>
        <v/>
      </c>
      <c r="I6" s="23">
        <f>"از سقف ۱۰۰ امتیاز"</f>
        <v/>
      </c>
    </row>
    <row r="8">
      <c r="A8" s="25" t="inlineStr">
        <is>
          <t>تحلیل تفکیکی عملکرد بر اساس ۱۲ سرفصل حسابداری</t>
        </is>
      </c>
      <c r="G8" s="25" t="inlineStr">
        <is>
          <t>تحلیل فراوانی و توزیع الگوهای خطای هوش مصنوعی</t>
        </is>
      </c>
      <c r="H8" s="25" t="n"/>
    </row>
    <row r="9">
      <c r="A9" s="2" t="inlineStr">
        <is>
          <t>کد</t>
        </is>
      </c>
      <c r="B9" s="2" t="inlineStr">
        <is>
          <t>سرفصل حسابداری (دسته)</t>
        </is>
      </c>
      <c r="C9" s="2" t="inlineStr">
        <is>
          <t>تعداد کل</t>
        </is>
      </c>
      <c r="D9" s="2" t="inlineStr">
        <is>
          <t>تست شده</t>
        </is>
      </c>
      <c r="E9" s="2" t="inlineStr">
        <is>
          <t>نرخ قبولی</t>
        </is>
      </c>
      <c r="F9" s="2" t="inlineStr">
        <is>
          <t>میانگین نمره</t>
        </is>
      </c>
      <c r="H9" s="26" t="inlineStr">
        <is>
          <t>ردیف</t>
        </is>
      </c>
      <c r="I9" s="26" t="inlineStr">
        <is>
          <t>الگوی خطای حسابداری هوش مصنوعی</t>
        </is>
      </c>
      <c r="J9" s="26" t="inlineStr">
        <is>
          <t>تعداد وقوع</t>
        </is>
      </c>
      <c r="K9" s="26" t="inlineStr">
        <is>
          <t>سهم از کل</t>
        </is>
      </c>
      <c r="L9" s="26" t="inlineStr">
        <is>
          <t>شدت ریسک</t>
        </is>
      </c>
    </row>
    <row r="10">
      <c r="A10" s="12" t="inlineStr">
        <is>
          <t>۱</t>
        </is>
      </c>
      <c r="B10" s="13" t="inlineStr">
        <is>
          <t>۱. پیش‌پرداخت، هزینه و دوره مالی</t>
        </is>
      </c>
      <c r="C10" s="14">
        <f>COUNTIF('تست کور'!$B$2:$B$121, B10)</f>
        <v/>
      </c>
      <c r="D10" s="14">
        <f>COUNTIFS('تست کور'!$B$2:$B$121, B10, 'تست کور'!$I$2:$I$121, "&lt;&gt;")</f>
        <v/>
      </c>
      <c r="E10" s="27">
        <f>IF(D10=0, 0, (COUNTIFS('تست کور'!$B$2:$B$121, B10, 'تست کور'!$I$2:$I$121, "قبولی کامل (Pass)") + 0.5*COUNTIFS('تست کور'!$B$2:$B$121, B10, 'تست کور'!$I$2:$I$121, "قبولی مشروط (Conditional)")) / D10)</f>
        <v/>
      </c>
      <c r="F10" s="28">
        <f>IF(D10=0, 0, AVERAGEIFS('نتایج تست و امتیازدهی'!$H$2:$H$121, 'نتایج تست و امتیازدهی'!$B$2:$B$121, B10, 'نتایج تست و امتیازدهی'!$H$2:$H$121, "&lt;&gt;"))</f>
        <v/>
      </c>
      <c r="H10" s="12" t="inlineStr">
        <is>
          <t>۱</t>
        </is>
      </c>
      <c r="I10" s="13" t="inlineStr">
        <is>
          <t>خطا در تشخیص ماهیت رویداد</t>
        </is>
      </c>
      <c r="J10" s="14">
        <f>'نتایج تست و امتیازدهی'!N2</f>
        <v/>
      </c>
      <c r="K10" s="27">
        <f>'نتایج تست و امتیازدهی'!O2</f>
        <v/>
      </c>
      <c r="L10" s="12">
        <f>'نتایج تست و امتیازدهی'!P2</f>
        <v/>
      </c>
    </row>
    <row r="11">
      <c r="A11" s="12" t="inlineStr">
        <is>
          <t>۲</t>
        </is>
      </c>
      <c r="B11" s="13" t="inlineStr">
        <is>
          <t>۲. دارایی ثابت، استهلاک و مخارج سرمایه‌ای</t>
        </is>
      </c>
      <c r="C11" s="14">
        <f>COUNTIF('تست کور'!$B$2:$B$121, B11)</f>
        <v/>
      </c>
      <c r="D11" s="14">
        <f>COUNTIFS('تست کور'!$B$2:$B$121, B11, 'تست کور'!$I$2:$I$121, "&lt;&gt;")</f>
        <v/>
      </c>
      <c r="E11" s="27">
        <f>IF(D11=0, 0, (COUNTIFS('تست کور'!$B$2:$B$121, B11, 'تست کور'!$I$2:$I$121, "قبولی کامل (Pass)") + 0.5*COUNTIFS('تست کور'!$B$2:$B$121, B11, 'تست کور'!$I$2:$I$121, "قبولی مشروط (Conditional)")) / D11)</f>
        <v/>
      </c>
      <c r="F11" s="28">
        <f>IF(D11=0, 0, AVERAGEIFS('نتایج تست و امتیازدهی'!$H$2:$H$121, 'نتایج تست و امتیازدهی'!$B$2:$B$121, B11, 'نتایج تست و امتیازدهی'!$H$2:$H$121, "&lt;&gt;"))</f>
        <v/>
      </c>
      <c r="H11" s="12" t="inlineStr">
        <is>
          <t>۲</t>
        </is>
      </c>
      <c r="I11" s="13" t="inlineStr">
        <is>
          <t>جابجایی یا اشتباه بدهکار/بستانکار</t>
        </is>
      </c>
      <c r="J11" s="14">
        <f>'نتایج تست و امتیازدهی'!N3</f>
        <v/>
      </c>
      <c r="K11" s="27">
        <f>'نتایج تست و امتیازدهی'!O3</f>
        <v/>
      </c>
      <c r="L11" s="12">
        <f>'نتایج تست و امتیازدهی'!P3</f>
        <v/>
      </c>
    </row>
    <row r="12">
      <c r="A12" s="12" t="inlineStr">
        <is>
          <t>۳</t>
        </is>
      </c>
      <c r="B12" s="13" t="inlineStr">
        <is>
          <t>۳. موجودی کالا، انبار و خرید و فروش</t>
        </is>
      </c>
      <c r="C12" s="14">
        <f>COUNTIF('تست کور'!$B$2:$B$121, B12)</f>
        <v/>
      </c>
      <c r="D12" s="14">
        <f>COUNTIFS('تست کور'!$B$2:$B$121, B12, 'تست کور'!$I$2:$I$121, "&lt;&gt;")</f>
        <v/>
      </c>
      <c r="E12" s="27">
        <f>IF(D12=0, 0, (COUNTIFS('تست کور'!$B$2:$B$121, B12, 'تست کور'!$I$2:$I$121, "قبولی کامل (Pass)") + 0.5*COUNTIFS('تست کور'!$B$2:$B$121, B12, 'تست کور'!$I$2:$I$121, "قبولی مشروط (Conditional)")) / D12)</f>
        <v/>
      </c>
      <c r="F12" s="28">
        <f>IF(D12=0, 0, AVERAGEIFS('نتایج تست و امتیازدهی'!$H$2:$H$121, 'نتایج تست و امتیازدهی'!$B$2:$B$121, B12, 'نتایج تست و امتیازدهی'!$H$2:$H$121, "&lt;&gt;"))</f>
        <v/>
      </c>
      <c r="H12" s="12" t="inlineStr">
        <is>
          <t>۳</t>
        </is>
      </c>
      <c r="I12" s="13" t="inlineStr">
        <is>
          <t>استخراج اشتباه مبلغ یا ارقام</t>
        </is>
      </c>
      <c r="J12" s="14">
        <f>'نتایج تست و امتیازدهی'!N4</f>
        <v/>
      </c>
      <c r="K12" s="27">
        <f>'نتایج تست و امتیازدهی'!O4</f>
        <v/>
      </c>
      <c r="L12" s="12">
        <f>'نتایج تست و امتیازدهی'!P4</f>
        <v/>
      </c>
    </row>
    <row r="13">
      <c r="A13" s="12" t="inlineStr">
        <is>
          <t>۴</t>
        </is>
      </c>
      <c r="B13" s="13" t="inlineStr">
        <is>
          <t>۴. دریافتنی و پرداختنی تجاری</t>
        </is>
      </c>
      <c r="C13" s="14">
        <f>COUNTIF('تست کور'!$B$2:$B$121, B13)</f>
        <v/>
      </c>
      <c r="D13" s="14">
        <f>COUNTIFS('تست کور'!$B$2:$B$121, B13, 'تست کور'!$I$2:$I$121, "&lt;&gt;")</f>
        <v/>
      </c>
      <c r="E13" s="27">
        <f>IF(D13=0, 0, (COUNTIFS('تست کور'!$B$2:$B$121, B13, 'تست کور'!$I$2:$I$121, "قبولی کامل (Pass)") + 0.5*COUNTIFS('تست کور'!$B$2:$B$121, B13, 'تست کور'!$I$2:$I$121, "قبولی مشروط (Conditional)")) / D13)</f>
        <v/>
      </c>
      <c r="F13" s="28">
        <f>IF(D13=0, 0, AVERAGEIFS('نتایج تست و امتیازدهی'!$H$2:$H$121, 'نتایج تست و امتیازدهی'!$B$2:$B$121, B13, 'نتایج تست و امتیازدهی'!$H$2:$H$121, "&lt;&gt;"))</f>
        <v/>
      </c>
      <c r="H13" s="12" t="inlineStr">
        <is>
          <t>۴</t>
        </is>
      </c>
      <c r="I13" s="13" t="inlineStr">
        <is>
          <t>از قلم افتادن بخش دوم در جمله مرکب</t>
        </is>
      </c>
      <c r="J13" s="14">
        <f>'نتایج تست و امتیازدهی'!N5</f>
        <v/>
      </c>
      <c r="K13" s="27">
        <f>'نتایج تست و امتیازدهی'!O5</f>
        <v/>
      </c>
      <c r="L13" s="12">
        <f>'نتایج تست و امتیازدهی'!P5</f>
        <v/>
      </c>
    </row>
    <row r="14">
      <c r="A14" s="12" t="inlineStr">
        <is>
          <t>۵</t>
        </is>
      </c>
      <c r="B14" s="13" t="inlineStr">
        <is>
          <t>۵. چک و سفته و اسناد تجاری</t>
        </is>
      </c>
      <c r="C14" s="14">
        <f>COUNTIF('تست کور'!$B$2:$B$121, B14)</f>
        <v/>
      </c>
      <c r="D14" s="14">
        <f>COUNTIFS('تست کور'!$B$2:$B$121, B14, 'تست کور'!$I$2:$I$121, "&lt;&gt;")</f>
        <v/>
      </c>
      <c r="E14" s="27">
        <f>IF(D14=0, 0, (COUNTIFS('تست کور'!$B$2:$B$121, B14, 'تست کور'!$I$2:$I$121, "قبولی کامل (Pass)") + 0.5*COUNTIFS('تست کور'!$B$2:$B$121, B14, 'تست کور'!$I$2:$I$121, "قبولی مشروط (Conditional)")) / D14)</f>
        <v/>
      </c>
      <c r="F14" s="28">
        <f>IF(D14=0, 0, AVERAGEIFS('نتایج تست و امتیازدهی'!$H$2:$H$121, 'نتایج تست و امتیازدهی'!$B$2:$B$121, B14, 'نتایج تست و امتیازدهی'!$H$2:$H$121, "&lt;&gt;"))</f>
        <v/>
      </c>
      <c r="H14" s="12" t="inlineStr">
        <is>
          <t>۵</t>
        </is>
      </c>
      <c r="I14" s="13" t="inlineStr">
        <is>
          <t>عدم طرح سؤال در سناریوی مبهم</t>
        </is>
      </c>
      <c r="J14" s="14">
        <f>'نتایج تست و امتیازدهی'!N6</f>
        <v/>
      </c>
      <c r="K14" s="27">
        <f>'نتایج تست و امتیازدهی'!O6</f>
        <v/>
      </c>
      <c r="L14" s="12">
        <f>'نتایج تست و امتیازدهی'!P6</f>
        <v/>
      </c>
    </row>
    <row r="15">
      <c r="A15" s="12" t="inlineStr">
        <is>
          <t>۶</t>
        </is>
      </c>
      <c r="B15" s="13" t="inlineStr">
        <is>
          <t>۶. وام و تسهیلات بانکی</t>
        </is>
      </c>
      <c r="C15" s="14">
        <f>COUNTIF('تست کور'!$B$2:$B$121, B15)</f>
        <v/>
      </c>
      <c r="D15" s="14">
        <f>COUNTIFS('تست کور'!$B$2:$B$121, B15, 'تست کور'!$I$2:$I$121, "&lt;&gt;")</f>
        <v/>
      </c>
      <c r="E15" s="27">
        <f>IF(D15=0, 0, (COUNTIFS('تست کور'!$B$2:$B$121, B15, 'تست کور'!$I$2:$I$121, "قبولی کامل (Pass)") + 0.5*COUNTIFS('تست کور'!$B$2:$B$121, B15, 'تست کور'!$I$2:$I$121, "قبولی مشروط (Conditional)")) / D15)</f>
        <v/>
      </c>
      <c r="F15" s="28">
        <f>IF(D15=0, 0, AVERAGEIFS('نتایج تست و امتیازدهی'!$H$2:$H$121, 'نتایج تست و امتیازدهی'!$B$2:$B$121, B15, 'نتایج تست و امتیازدهی'!$H$2:$H$121, "&lt;&gt;"))</f>
        <v/>
      </c>
      <c r="H15" s="12" t="inlineStr">
        <is>
          <t>۶</t>
        </is>
      </c>
      <c r="I15" s="13" t="inlineStr">
        <is>
          <t>طرح سؤال تکمیلی غلط و توهم اطلاعات</t>
        </is>
      </c>
      <c r="J15" s="14">
        <f>'نتایج تست و امتیازدهی'!N7</f>
        <v/>
      </c>
      <c r="K15" s="27">
        <f>'نتایج تست و امتیازدهی'!O7</f>
        <v/>
      </c>
      <c r="L15" s="12">
        <f>'نتایج تست و امتیازدهی'!P7</f>
        <v/>
      </c>
    </row>
    <row r="16">
      <c r="A16" s="12" t="inlineStr">
        <is>
          <t>۷</t>
        </is>
      </c>
      <c r="B16" s="13" t="inlineStr">
        <is>
          <t>۷. حقوق، دستمزد و بیمه</t>
        </is>
      </c>
      <c r="C16" s="14">
        <f>COUNTIF('تست کور'!$B$2:$B$121, B16)</f>
        <v/>
      </c>
      <c r="D16" s="14">
        <f>COUNTIFS('تست کور'!$B$2:$B$121, B16, 'تست کور'!$I$2:$I$121, "&lt;&gt;")</f>
        <v/>
      </c>
      <c r="E16" s="27">
        <f>IF(D16=0, 0, (COUNTIFS('تست کور'!$B$2:$B$121, B16, 'تست کور'!$I$2:$I$121, "قبولی کامل (Pass)") + 0.5*COUNTIFS('تست کور'!$B$2:$B$121, B16, 'تست کور'!$I$2:$I$121, "قبولی مشروط (Conditional)")) / D16)</f>
        <v/>
      </c>
      <c r="F16" s="28">
        <f>IF(D16=0, 0, AVERAGEIFS('نتایج تست و امتیازدهی'!$H$2:$H$121, 'نتایج تست و امتیازدهی'!$B$2:$B$121, B16, 'نتایج تست و امتیازدهی'!$H$2:$H$121, "&lt;&gt;"))</f>
        <v/>
      </c>
      <c r="H16" s="12" t="inlineStr">
        <is>
          <t>۷</t>
        </is>
      </c>
      <c r="I16" s="13" t="inlineStr">
        <is>
          <t>عدم تشخیص سررسید یا طرف‌حساب</t>
        </is>
      </c>
      <c r="J16" s="14">
        <f>'نتایج تست و امتیازدهی'!N8</f>
        <v/>
      </c>
      <c r="K16" s="27">
        <f>'نتایج تست و امتیازدهی'!O8</f>
        <v/>
      </c>
      <c r="L16" s="12">
        <f>'نتایج تست و امتیازدهی'!P8</f>
        <v/>
      </c>
    </row>
    <row r="17">
      <c r="A17" s="12" t="inlineStr">
        <is>
          <t>۸</t>
        </is>
      </c>
      <c r="B17" s="13" t="inlineStr">
        <is>
          <t>۸. مالیات و ارزش افزوده</t>
        </is>
      </c>
      <c r="C17" s="14">
        <f>COUNTIF('تست کور'!$B$2:$B$121, B17)</f>
        <v/>
      </c>
      <c r="D17" s="14">
        <f>COUNTIFS('تست کور'!$B$2:$B$121, B17, 'تست کور'!$I$2:$I$121, "&lt;&gt;")</f>
        <v/>
      </c>
      <c r="E17" s="27">
        <f>IF(D17=0, 0, (COUNTIFS('تست کور'!$B$2:$B$121, B17, 'تست کور'!$I$2:$I$121, "قبولی کامل (Pass)") + 0.5*COUNTIFS('تست کور'!$B$2:$B$121, B17, 'تست کور'!$I$2:$I$121, "قبولی مشروط (Conditional)")) / D17)</f>
        <v/>
      </c>
      <c r="F17" s="28">
        <f>IF(D17=0, 0, AVERAGEIFS('نتایج تست و امتیازدهی'!$H$2:$H$121, 'نتایج تست و امتیازدهی'!$B$2:$B$121, B17, 'نتایج تست و امتیازدهی'!$H$2:$H$121, "&lt;&gt;"))</f>
        <v/>
      </c>
      <c r="H17" s="12" t="inlineStr">
        <is>
          <t>۸</t>
        </is>
      </c>
      <c r="I17" s="13" t="inlineStr">
        <is>
          <t>عدم رعایت کنترل‌های داخلی و مالیاتی</t>
        </is>
      </c>
      <c r="J17" s="14">
        <f>'نتایج تست و امتیازدهی'!N9</f>
        <v/>
      </c>
      <c r="K17" s="27">
        <f>'نتایج تست و امتیازدهی'!O9</f>
        <v/>
      </c>
      <c r="L17" s="12">
        <f>'نتایج تست و امتیازدهی'!P9</f>
        <v/>
      </c>
    </row>
    <row r="18">
      <c r="A18" s="12" t="inlineStr">
        <is>
          <t>۹</t>
        </is>
      </c>
      <c r="B18" s="13" t="inlineStr">
        <is>
          <t>۹. حقوق صاحبان سهام و جاری شرکا</t>
        </is>
      </c>
      <c r="C18" s="14">
        <f>COUNTIF('تست کور'!$B$2:$B$121, B18)</f>
        <v/>
      </c>
      <c r="D18" s="14">
        <f>COUNTIFS('تست کور'!$B$2:$B$121, B18, 'تست کور'!$I$2:$I$121, "&lt;&gt;")</f>
        <v/>
      </c>
      <c r="E18" s="27">
        <f>IF(D18=0, 0, (COUNTIFS('تست کور'!$B$2:$B$121, B18, 'تست کور'!$I$2:$I$121, "قبولی کامل (Pass)") + 0.5*COUNTIFS('تست کور'!$B$2:$B$121, B18, 'تست کور'!$I$2:$I$121, "قبولی مشروط (Conditional)")) / D18)</f>
        <v/>
      </c>
      <c r="F18" s="28">
        <f>IF(D18=0, 0, AVERAGEIFS('نتایج تست و امتیازدهی'!$H$2:$H$121, 'نتایج تست و امتیازدهی'!$B$2:$B$121, B18, 'نتایج تست و امتیازدهی'!$H$2:$H$121, "&lt;&gt;"))</f>
        <v/>
      </c>
      <c r="H18" s="35" t="inlineStr">
        <is>
          <t>-</t>
        </is>
      </c>
      <c r="I18" s="32" t="inlineStr">
        <is>
          <t>مجموع کل خطاهای کشف‌شده</t>
        </is>
      </c>
      <c r="J18" s="33">
        <f>SUM(J10:J17)</f>
        <v/>
      </c>
      <c r="K18" s="34">
        <f>SUM(K10:K17)</f>
        <v/>
      </c>
      <c r="L18" s="35" t="inlineStr">
        <is>
          <t>پایش سلامت مدل</t>
        </is>
      </c>
    </row>
    <row r="19">
      <c r="A19" s="12" t="inlineStr">
        <is>
          <t>۱۰</t>
        </is>
      </c>
      <c r="B19" s="13" t="inlineStr">
        <is>
          <t>۱۰. تهاتر، تسویه و مطالبات غیرنقد</t>
        </is>
      </c>
      <c r="C19" s="14">
        <f>COUNTIF('تست کور'!$B$2:$B$121, B19)</f>
        <v/>
      </c>
      <c r="D19" s="14">
        <f>COUNTIFS('تست کور'!$B$2:$B$121, B19, 'تست کور'!$I$2:$I$121, "&lt;&gt;")</f>
        <v/>
      </c>
      <c r="E19" s="27">
        <f>IF(D19=0, 0, (COUNTIFS('تست کور'!$B$2:$B$121, B19, 'تست کور'!$I$2:$I$121, "قبولی کامل (Pass)") + 0.5*COUNTIFS('تست کور'!$B$2:$B$121, B19, 'تست کور'!$I$2:$I$121, "قبولی مشروط (Conditional)")) / D19)</f>
        <v/>
      </c>
      <c r="F19" s="28">
        <f>IF(D19=0, 0, AVERAGEIFS('نتایج تست و امتیازدهی'!$H$2:$H$121, 'نتایج تست و امتیازدهی'!$B$2:$B$121, B19, 'نتایج تست و امتیازدهی'!$H$2:$H$121, "&lt;&gt;"))</f>
        <v/>
      </c>
    </row>
    <row r="20">
      <c r="A20" s="47" t="inlineStr">
        <is>
          <t>شاخص‌های مرحلهٔ فعلی</t>
        </is>
      </c>
      <c r="B20" s="13" t="inlineStr">
        <is>
          <t>۱۱. اصلاح اشتباهات و تعدیلات سنواتی</t>
        </is>
      </c>
      <c r="C20" s="14">
        <f>COUNTIF('تست کور'!$B$2:$B$121, B20)</f>
        <v/>
      </c>
      <c r="D20" s="14">
        <f>COUNTIFS('تست کور'!$B$2:$B$121, B20, 'تست کور'!$I$2:$I$121, "&lt;&gt;")</f>
        <v/>
      </c>
      <c r="E20" s="27">
        <f>IF(D20=0, 0, (COUNTIFS('تست کور'!$B$2:$B$121, B20, 'تست کور'!$I$2:$I$121, "قبولی کامل (Pass)") + 0.5*COUNTIFS('تست کور'!$B$2:$B$121, B20, 'تست کور'!$I$2:$I$121, "قبولی مشروط (Conditional)")) / D20)</f>
        <v/>
      </c>
      <c r="F20" s="28">
        <f>IF(D20=0, 0, AVERAGEIFS('نتایج تست و امتیازدهی'!$H$2:$H$121, 'نتایج تست و امتیازدهی'!$B$2:$B$121, B20, 'نتایج تست و امتیازدهی'!$H$2:$H$121, "&lt;&gt;"))</f>
        <v/>
      </c>
    </row>
    <row r="21">
      <c r="A21" s="48" t="inlineStr">
        <is>
          <t>ثبت اشتباه با اطمینان (باید صفر بماند)</t>
        </is>
      </c>
      <c r="B21" s="13" t="inlineStr">
        <is>
          <t>۱۲. درآمد غیرعملیاتی، ضایعات و رویداد غیرعادی</t>
        </is>
      </c>
      <c r="C21" s="14">
        <f>COUNTIF('تست کور'!$M$2:$M$121, "بله")</f>
        <v/>
      </c>
      <c r="D21" s="14">
        <f>COUNTIFS('تست کور'!$B$2:$B$121, B21, 'تست کور'!$I$2:$I$121, "&lt;&gt;")</f>
        <v/>
      </c>
      <c r="E21" s="49" t="inlineStr">
        <is>
          <t>سناریوهای در دامنهٔ فاز فعلی</t>
        </is>
      </c>
      <c r="F21" s="28">
        <f>IF(D21=0, 0, AVERAGEIFS('نتایج تست و امتیازدهی'!$H$2:$H$121, 'نتایج تست و امتیازدهی'!$B$2:$B$121, B21, 'نتایج تست و امتیازدهی'!$H$2:$H$121, "&lt;&gt;"))</f>
        <v/>
      </c>
      <c r="G21">
        <f>COUNTIF('تست کور'!$L$2:$L$121, "تا حدی*")</f>
        <v/>
      </c>
    </row>
    <row r="22">
      <c r="A22" s="50" t="inlineStr">
        <is>
          <t>امتناع درست (خارج از دامنهٔ فاز)</t>
        </is>
      </c>
      <c r="B22" s="36" t="inlineStr">
        <is>
          <t>مجموع کل سیستم (Total System)</t>
        </is>
      </c>
      <c r="C22" s="37">
        <f>COUNTIF('تست کور'!$I$2:$I$121, "امتناع درست — قاعده‌اش در این فاز ساخته نشده")</f>
        <v/>
      </c>
      <c r="D22" s="37">
        <f>SUM(D10:D21)</f>
        <v/>
      </c>
      <c r="E22" s="51" t="inlineStr">
        <is>
          <t>آزمون‌شده از سناریوهای در دامنه</t>
        </is>
      </c>
      <c r="F22" s="39">
        <f>IFERROR(AVERAGE('نتایج تست و امتیازدهی'!$H$2:$H$121), 0)</f>
        <v/>
      </c>
      <c r="G22">
        <f>COUNTIFS('تست کور'!$L$2:$L$121, "تا حدی*", 'تست کور'!$I$2:$I$121, "&lt;&gt;")</f>
        <v/>
      </c>
    </row>
  </sheetData>
  <mergeCells count="19">
    <mergeCell ref="C6:D6"/>
    <mergeCell ref="C5:D5"/>
    <mergeCell ref="I4:L4"/>
    <mergeCell ref="E5:F5"/>
    <mergeCell ref="A6:B6"/>
    <mergeCell ref="C4:D4"/>
    <mergeCell ref="A2:L2"/>
    <mergeCell ref="E4:F4"/>
    <mergeCell ref="A8:F8"/>
    <mergeCell ref="I6:L6"/>
    <mergeCell ref="G6:H6"/>
    <mergeCell ref="E6:F6"/>
    <mergeCell ref="A5:B5"/>
    <mergeCell ref="G5:H5"/>
    <mergeCell ref="A4:B4"/>
    <mergeCell ref="G4:H4"/>
    <mergeCell ref="A1:L1"/>
    <mergeCell ref="H8:L8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2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63" customWidth="1" style="45" min="1" max="1"/>
    <col width="30.13" customWidth="1" style="45" min="2" max="2"/>
    <col width="85.13" customWidth="1" style="45" min="3" max="3"/>
  </cols>
  <sheetData>
    <row r="1">
      <c r="A1" s="17" t="inlineStr">
        <is>
          <t>راهنمای جامع اجرای آزمون استرس‌تست و رگرشن هوش مصنوعی حساب‌یار</t>
        </is>
      </c>
    </row>
    <row r="2">
      <c r="A2" s="18" t="inlineStr">
        <is>
          <t>دستورالعمل آزمون صوتی محاوره‌ای، ارزیابی NLP مالی، سیستم امتیازدهی و نحوه دانلود اکسل</t>
        </is>
      </c>
    </row>
    <row r="3">
      <c r="A3" s="26" t="inlineStr">
        <is>
          <t>بخش و حوزه راهنما</t>
        </is>
      </c>
      <c r="B3" s="26" t="inlineStr">
        <is>
          <t>عنوان و مولفه راهنما</t>
        </is>
      </c>
      <c r="C3" s="26" t="inlineStr">
        <is>
          <t>دستورالعمل اجرایی و استاندارد ارزیابی تستر</t>
        </is>
      </c>
    </row>
    <row r="4">
      <c r="A4" s="29" t="inlineStr">
        <is>
          <t>۱. هدف و متدولوژی کلی</t>
        </is>
      </c>
      <c r="B4" s="30" t="inlineStr">
        <is>
          <t>فلسفه استرس‌تست صوتی</t>
        </is>
      </c>
      <c r="C4" s="5" t="inlineStr">
        <is>
          <t>این پایگاه آزمون با هدف به چالش کشیدن الگوریتم‌های پردازش زبان طبیعی (NLP) و استنتاج حسابداری هوش مصنوعی حساب‌یار طراحی شده است. سیستم باید بدون فریب خوردن از لهجه، عبارات کوچه بازاری و اصطلاحات سنتی بازار، حقیقت معامله را استخراج کند.</t>
        </is>
      </c>
    </row>
    <row r="5">
      <c r="A5" s="29" t="inlineStr">
        <is>
          <t>۱. هدف و متدولوژی کلی</t>
        </is>
      </c>
      <c r="B5" s="30" t="inlineStr">
        <is>
          <t>پوشش استانداردها</t>
        </is>
      </c>
      <c r="C5" s="5" t="inlineStr">
        <is>
          <t>تمامی سناریوها با استانداردهای حسابداری ایران، قانون تجارت، قانون مالیات‌های مستقیم (مواد ۹۵، ۱۴۷، ۱۴۸ و مودیان) و قانون مالیات بر ارزش افزوده همگام‌سازی شده‌اند.</t>
        </is>
      </c>
    </row>
    <row r="6">
      <c r="A6" s="29" t="inlineStr">
        <is>
          <t>۲. متدولوژی تست صوتی</t>
        </is>
      </c>
      <c r="B6" s="30" t="inlineStr">
        <is>
          <t>نحوه قرائت سناریوها (Voice)</t>
        </is>
      </c>
      <c r="C6" s="5" t="inlineStr">
        <is>
          <t>سناریوها را دقیقاً با لحن طبیعی، بدون شمرده‌خوانی مصنوعی و همانند یک صاحب حجره یا مدیرعامل در حال رانندگی یا در محیط شلوغ بخوانید. لهجه‌های روزمره، کلمات محاوره‌ای نظیر 'دست‌لاف'، 'کارت کشیدم'، 'تومن' و 'سر به سر' را بدون تغییر تلفظ کنید.</t>
        </is>
      </c>
    </row>
    <row r="7">
      <c r="A7" s="29" t="inlineStr">
        <is>
          <t>۲. متدولوژی تست صوتی</t>
        </is>
      </c>
      <c r="B7" s="30" t="inlineStr">
        <is>
          <t>تست شرایط پر سر و صدا (Noise)</t>
        </is>
      </c>
      <c r="C7" s="5" t="inlineStr">
        <is>
          <t>پیشنهاد می‌شود حداقل ۲۰ سناریو در محیط با نویز پس‌زمینه (محیط کارگاه، دفتر پرتردد) خوانده شود تا مقاومت ماژول Speech-to-Text (ASR) در تبدیل صوت به متن ارزیابی شود.</t>
        </is>
      </c>
    </row>
    <row r="8">
      <c r="A8" s="29" t="inlineStr">
        <is>
          <t>۳. سناریوهای مبهم</t>
        </is>
      </c>
      <c r="B8" s="30" t="inlineStr">
        <is>
          <t>معیار موفقیت در ابهام (۳۴ تست)</t>
        </is>
      </c>
      <c r="C8" s="5" t="inlineStr">
        <is>
          <t>در ۳۴ سناریویی که عمدتاً مبهم طراحی شده‌اند، هوش مصنوعی حق صدور خودسرانه سند مالی قطعی را ندارد. رفتار صحیح، توقف عملیات و طرح یک 'سؤال تکمیلی دقیق' است (مثلاً: فاکتور دارد؟ آیا مصرفی است یا دارایی؟ مدت اقساط چقدر است؟).</t>
        </is>
      </c>
    </row>
    <row r="9">
      <c r="A9" s="29" t="inlineStr">
        <is>
          <t>۳. سناریوهای مبهم</t>
        </is>
      </c>
      <c r="B9" s="30" t="inlineStr">
        <is>
          <t>جلوگیری از فرار مالیاتی و تخلف</t>
        </is>
      </c>
      <c r="C9" s="5" t="inlineStr">
        <is>
          <t>در سناریوهایی که بوی فاکتور صوری، پولشویی یا پنهان‌کاری مالیاتی می‌دهد (مثل T060، T077، T110، T120)، هوش مصنوعی باید صراحتاً ثبت را رد کرده و هشدارهای قانونی لازم را صادر کند.</t>
        </is>
      </c>
    </row>
    <row r="10">
      <c r="A10" s="29" t="inlineStr">
        <is>
          <t>۴. سناریوهای چندرویدادی</t>
        </is>
      </c>
      <c r="B10" s="30" t="inlineStr">
        <is>
          <t>تست جملات مرکب (۲۳ تست)</t>
        </is>
      </c>
      <c r="C10" s="5" t="inlineStr">
        <is>
          <t>در سناریوهای مرکب که چند رویداد در یک جمله بیان شده (مثلاً: خرید کالا + پرداخت قسمتی نقد + صدور چک مدت‌دار + کسر تخفیف تجاری)، سیستم باید تمام اضلاع معامله را تفکیک کند و نباید بخش دوم جمله را جا بیندازد.</t>
        </is>
      </c>
    </row>
    <row r="11">
      <c r="A11" s="29" t="inlineStr">
        <is>
          <t>۵. ماتریس امتیازدهی</t>
        </is>
      </c>
      <c r="B11" s="30" t="inlineStr">
        <is>
          <t>نحوه محاسبه نمره (۱۰۰ نمره)</t>
        </is>
      </c>
      <c r="C11" s="5" t="inlineStr">
        <is>
          <t>موتور امتیازدهی خودکار در تب 'نتایج تست و امتیازدهی' هر آزمون را به ۵ بعد تقسیم می‌کند: تشخیص رویداد (۲۵ نمره)، ثبت بدهکار/بستانکار (۲۵ نمره)، مبالغ (۲۰ نمره)، طرف‌حساب و سررسید (۱۵ نمره)، رفتار در ابهام/ترکیب (۱۵ نمره).</t>
        </is>
      </c>
    </row>
    <row r="12">
      <c r="A12" s="29" t="inlineStr">
        <is>
          <t>۵. ماتریس امتیازدهی</t>
        </is>
      </c>
      <c r="B12" s="30" t="inlineStr">
        <is>
          <t>دسته‌بندی کیفی عملکرد</t>
        </is>
      </c>
      <c r="C12" s="5" t="inlineStr">
        <is>
          <t>نمره بالای ۸۵: قبولی ممتاز (Passed) | نمره ۷۰ تا ۸۴: قبولی مشروط/متوسط (Acceptable) | نمره ۵۰ تا ۶۹: نیازمند بازآموزی مجدد مدل (Retrain) | نمره زیر ۵۰: مردود و خطای بحرانی (Failed).</t>
        </is>
      </c>
    </row>
    <row r="13">
      <c r="A13" s="29" t="inlineStr">
        <is>
          <t>۶. ثبت در کاربرگ تست کور</t>
        </is>
      </c>
      <c r="B13" s="30" t="inlineStr">
        <is>
          <t>مراحل گام‌به‌گام ثبت تستر</t>
        </is>
      </c>
      <c r="C13" s="5" t="inlineStr">
        <is>
          <t>۱. به تب 'تست کور' بروید. ۲. سناریو را برای هوش مصنوعی بخوانید. ۳. خروجی تولید شده توسط هوش مصنوعی را در ستون H کپی کنید. ۴. از منوی کشویی ستون I نتیجه را مشخص کنید. ۵. در صورت بروز خطا، نوع خطا را از ستون J انتخاب کنید.</t>
        </is>
      </c>
    </row>
    <row r="14">
      <c r="A14" s="29" t="inlineStr">
        <is>
          <t>۶. ثبت در کاربرگ تست کور</t>
        </is>
      </c>
      <c r="B14" s="30" t="inlineStr">
        <is>
          <t>همگام‌سازی لحظه‌ای داشبورد</t>
        </is>
      </c>
      <c r="C14" s="5" t="inlineStr">
        <is>
          <t>به محض انتخاب نتیجه یا خطا در شیت تست کور، نمرات در شیت 'نتایج تست و امتیازدهی' و تمامی شاخص‌ها و نمودارهای شیت 'داشبورد خلاصه' به صورت آنی به‌روزرسانی می‌شوند.</t>
        </is>
      </c>
    </row>
    <row r="15">
      <c r="A15" s="29" t="inlineStr">
        <is>
          <t>۷. راهنمای دانلود اکسل</t>
        </is>
      </c>
      <c r="B15" s="30" t="inlineStr">
        <is>
          <t>خروجی با فرمت رسمی xlsx</t>
        </is>
      </c>
      <c r="C15" s="5" t="inlineStr">
        <is>
          <t>جهت ذخیره و دانلود فایل کامل به صورت اکسل محلی روی سیستم خود: از منوی بالای صفحه گوگل شیت روی File (فایل) کلیک کرده، گزینه Download (دانلود) را بزنید و فرمت Microsoft Excel (.xlsx) را انتخاب نمایید. لینک مستقیم نیز در گزارش درج شده است.</t>
        </is>
      </c>
    </row>
    <row r="17">
      <c r="A17" s="52" t="inlineStr">
        <is>
          <t>۸. خواندن این کاربرگ در مرحلهٔ فعلی</t>
        </is>
      </c>
    </row>
    <row r="18">
      <c r="B18" s="52" t="inlineStr">
        <is>
          <t>نمرهٔ ۱۰۰ را فعلاً معیار نگیر</t>
        </is>
      </c>
      <c r="C18" s="53" t="inlineStr">
        <is>
          <t>موتور امروز فقط برای پیش‌پرداخت، انتقال داخلی، تسویه، تفکیک ارزش افزوده و چک دریافتی قاعده دارد. بقیهٔ سرفصل‌ها عمداً «نمی‌دانم» می‌گویند و این طبق معیار خودِ پروژه رفتار درست است، نه شکست.</t>
        </is>
      </c>
    </row>
    <row r="19">
      <c r="B19" s="52" t="inlineStr">
        <is>
          <t>تنها عددی که باید صفر بماند</t>
        </is>
      </c>
      <c r="C19" s="53" t="inlineStr">
        <is>
          <t>ستون «ثبت اشتباه با اطمینان؟». هر «بله» یعنی سیستم بی‌صدا سند غلط زده — تنها خطایی که آستانه‌اش صفر است. امتناع، هرچقدر هم زیاد، شکست نیست.</t>
        </is>
      </c>
    </row>
    <row r="20">
      <c r="B20" s="52" t="inlineStr">
        <is>
          <t>امتناع را چطور ثبت کنیم</t>
        </is>
      </c>
      <c r="C20" s="53" t="inlineStr">
        <is>
          <t>در ستون نتیجه گزینهٔ «امتناع درست — قاعده‌اش در این فاز ساخته نشده» را انتخاب کن. این گزینه از امتیازدهی بیرون می‌ماند و نمرهٔ صفر نمی‌سازد.</t>
        </is>
      </c>
    </row>
    <row r="21">
      <c r="B21" s="52" t="inlineStr">
        <is>
          <t>ستون دامنه چطور پر شده</t>
        </is>
      </c>
      <c r="C21" s="53" t="inlineStr">
        <is>
          <t>در سطح سرفصل، نه تک‌تک سناریو. «تا حدی» یعنی بخشی از آن سرفصل قاعده دارد؛ پیش از آزمون هر سناریو خودت کنترل کن که واقعاً در دامنه است یا نه.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2026-09-24T09:35:42Z</dcterms:created>
  <dcterms:modified xsi:type="dcterms:W3CDTF">2026-09-24T09:35:42Z</dcterms:modified>
</cp:coreProperties>
</file>